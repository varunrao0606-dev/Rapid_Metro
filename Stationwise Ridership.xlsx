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industowers-my.sharepoint.com/personal/hitesh_kumar1_industowers_com/Documents/Desktop/"/>
    </mc:Choice>
  </mc:AlternateContent>
  <xr:revisionPtr revIDLastSave="0" documentId="8_{3786729E-D136-47A8-ABEF-900A72299B25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Sheet1!$A$1:$C$261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61" i="1" l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C262" i="1"/>
  <c r="D262" i="1" s="1"/>
</calcChain>
</file>

<file path=xl/sharedStrings.xml><?xml version="1.0" encoding="utf-8"?>
<sst xmlns="http://schemas.openxmlformats.org/spreadsheetml/2006/main" count="274" uniqueCount="259">
  <si>
    <t>lineid</t>
  </si>
  <si>
    <t>sitename</t>
  </si>
  <si>
    <t>Shahdara</t>
  </si>
  <si>
    <t>Welcome</t>
  </si>
  <si>
    <t>Seelampur</t>
  </si>
  <si>
    <t>Shastri Park</t>
  </si>
  <si>
    <t>Kashmere Gate Rail</t>
  </si>
  <si>
    <t>Tis Hazari</t>
  </si>
  <si>
    <t>Pul Bangash</t>
  </si>
  <si>
    <t>Pratap Nagar</t>
  </si>
  <si>
    <t>Shastri Nagar</t>
  </si>
  <si>
    <t>Inderlok</t>
  </si>
  <si>
    <t>Kanhaiya Nagar</t>
  </si>
  <si>
    <t>Keshav Puram</t>
  </si>
  <si>
    <t>Netaji Subhash Place</t>
  </si>
  <si>
    <t>Kohat Enclave</t>
  </si>
  <si>
    <t>Pitampura</t>
  </si>
  <si>
    <t>Rohini East</t>
  </si>
  <si>
    <t>Rohini West</t>
  </si>
  <si>
    <t>Rithala</t>
  </si>
  <si>
    <t>Mansarovar Park</t>
  </si>
  <si>
    <t>Jhilmil</t>
  </si>
  <si>
    <t>Dilshad Garden</t>
  </si>
  <si>
    <t>Shahid Nagar</t>
  </si>
  <si>
    <t>Raj Bagh</t>
  </si>
  <si>
    <t>Maj M.Sharma-Rajendra Nagar</t>
  </si>
  <si>
    <t>Shyam Park</t>
  </si>
  <si>
    <t>Mohan Nagar</t>
  </si>
  <si>
    <t>Arthala</t>
  </si>
  <si>
    <t>Hindon River</t>
  </si>
  <si>
    <t>Shaheed Sthal-New Bus Adda</t>
  </si>
  <si>
    <t>Vishwa Vidalaya</t>
  </si>
  <si>
    <t>Vidhan Sabha</t>
  </si>
  <si>
    <t>Civil Lines</t>
  </si>
  <si>
    <t>Kashmere Gate Metro</t>
  </si>
  <si>
    <t>Chandni Chowk</t>
  </si>
  <si>
    <t>Chawri Bazar</t>
  </si>
  <si>
    <t>New Delhi</t>
  </si>
  <si>
    <t>Rajiv Chowk</t>
  </si>
  <si>
    <t>Patel Chowk</t>
  </si>
  <si>
    <t>Central Secretariat</t>
  </si>
  <si>
    <t>Jahangir Puri</t>
  </si>
  <si>
    <t>Adarsh Nagar</t>
  </si>
  <si>
    <t>Azadpur</t>
  </si>
  <si>
    <t>Model Town</t>
  </si>
  <si>
    <t>GTB Nagar</t>
  </si>
  <si>
    <t>Udyog Bhavan</t>
  </si>
  <si>
    <t>Race Course</t>
  </si>
  <si>
    <t>Jor Bagh</t>
  </si>
  <si>
    <t>INA</t>
  </si>
  <si>
    <t>AIIMS</t>
  </si>
  <si>
    <t>Green Park</t>
  </si>
  <si>
    <t>Hauzkhas</t>
  </si>
  <si>
    <t>Malaviya Nagar</t>
  </si>
  <si>
    <t>Saket</t>
  </si>
  <si>
    <t>Qutab Minar</t>
  </si>
  <si>
    <t>Chhatar Pur</t>
  </si>
  <si>
    <t>Sultan Pur</t>
  </si>
  <si>
    <t>Ghitorny</t>
  </si>
  <si>
    <t>Arjan Garh</t>
  </si>
  <si>
    <t>Guru DronaCharya</t>
  </si>
  <si>
    <t>Sikandar Pur</t>
  </si>
  <si>
    <t>MG Road</t>
  </si>
  <si>
    <t>Iffco Chowk</t>
  </si>
  <si>
    <t>Huda City Centre</t>
  </si>
  <si>
    <t>Haider Pur</t>
  </si>
  <si>
    <t>RohiniSE18</t>
  </si>
  <si>
    <t>Badli</t>
  </si>
  <si>
    <t>Indraprastha</t>
  </si>
  <si>
    <t>Pragati Maidan</t>
  </si>
  <si>
    <t>Mandi House</t>
  </si>
  <si>
    <t>Barakhamba Road</t>
  </si>
  <si>
    <t>R K Ashram</t>
  </si>
  <si>
    <t>Jhandewalan</t>
  </si>
  <si>
    <t>Karol Bagh</t>
  </si>
  <si>
    <t>Rajendra Place</t>
  </si>
  <si>
    <t>Patel Nagar</t>
  </si>
  <si>
    <t>Shadipur</t>
  </si>
  <si>
    <t>Moti Nagar</t>
  </si>
  <si>
    <t>Ramesh Nagar</t>
  </si>
  <si>
    <t>Rajouri Garden</t>
  </si>
  <si>
    <t>Tagore Garden</t>
  </si>
  <si>
    <t>Subhash Nagar</t>
  </si>
  <si>
    <t>Tilak Nagar</t>
  </si>
  <si>
    <t>Janak Puri E</t>
  </si>
  <si>
    <t>Janak Puri W</t>
  </si>
  <si>
    <t>Uttam Ngr E</t>
  </si>
  <si>
    <t>Uttam Ngr W</t>
  </si>
  <si>
    <t>Nawada</t>
  </si>
  <si>
    <t>Dwarka Mor</t>
  </si>
  <si>
    <t>Dwarka</t>
  </si>
  <si>
    <t>Dwarka SE14</t>
  </si>
  <si>
    <t>Dwarka SE13</t>
  </si>
  <si>
    <t>Dwarka SE12</t>
  </si>
  <si>
    <t>Dwarka SE11</t>
  </si>
  <si>
    <t>Dwarka SE10</t>
  </si>
  <si>
    <t>Dwarka SE09</t>
  </si>
  <si>
    <t>Yamuna Bank</t>
  </si>
  <si>
    <t>Akshardham</t>
  </si>
  <si>
    <t>Mayur VPH1</t>
  </si>
  <si>
    <t>Mayur VPH1E</t>
  </si>
  <si>
    <t>New Ashok Nagar</t>
  </si>
  <si>
    <t>Noida Sec15</t>
  </si>
  <si>
    <t>Noida Sec16</t>
  </si>
  <si>
    <t>Noida Sec18</t>
  </si>
  <si>
    <t>Golf Course</t>
  </si>
  <si>
    <t>City Centre</t>
  </si>
  <si>
    <t>Dwarka Sec08</t>
  </si>
  <si>
    <t>Dwarka Sec21</t>
  </si>
  <si>
    <t>Sector-34 Noida</t>
  </si>
  <si>
    <t>Sector-52 Noida</t>
  </si>
  <si>
    <t>Sector-61 Noida</t>
  </si>
  <si>
    <t>Sector-59 Noida</t>
  </si>
  <si>
    <t>Sector-62 Noida</t>
  </si>
  <si>
    <t>Noida Electronic City</t>
  </si>
  <si>
    <t>Anand Vihar ISBT</t>
  </si>
  <si>
    <t>Karkardooma</t>
  </si>
  <si>
    <t>Preet Vihar</t>
  </si>
  <si>
    <t>Nirman Vihar</t>
  </si>
  <si>
    <t>Laxmi Nagar</t>
  </si>
  <si>
    <t>Kaushambi</t>
  </si>
  <si>
    <t>Vaishali</t>
  </si>
  <si>
    <t>Inderlok N</t>
  </si>
  <si>
    <t>Ashok Park Main</t>
  </si>
  <si>
    <t>Punjabi Bagh</t>
  </si>
  <si>
    <t>Shivaji Park</t>
  </si>
  <si>
    <t>Madi Pur</t>
  </si>
  <si>
    <t>Paschim V W</t>
  </si>
  <si>
    <t>Paschim V E</t>
  </si>
  <si>
    <t>Peera Garhi</t>
  </si>
  <si>
    <t>Udyog Nagar</t>
  </si>
  <si>
    <t>Surajmal Stadium</t>
  </si>
  <si>
    <t>Nangloi</t>
  </si>
  <si>
    <t>Nangloi Railway Station</t>
  </si>
  <si>
    <t>Rajdhani Park</t>
  </si>
  <si>
    <t>Mundka</t>
  </si>
  <si>
    <t>Sat Guru Ram Singh</t>
  </si>
  <si>
    <t>Kirti Nagar</t>
  </si>
  <si>
    <t>Mundka IA</t>
  </si>
  <si>
    <t>Ghevra</t>
  </si>
  <si>
    <t>Tikri Kalan</t>
  </si>
  <si>
    <t>Tikri Border</t>
  </si>
  <si>
    <t>Modern Industrial Estate</t>
  </si>
  <si>
    <t>Bus Stand</t>
  </si>
  <si>
    <t>City Park</t>
  </si>
  <si>
    <t>Central SecN</t>
  </si>
  <si>
    <t>Khan Market</t>
  </si>
  <si>
    <t>JLN Stadium</t>
  </si>
  <si>
    <t>Jangpura</t>
  </si>
  <si>
    <t>Lajpat Nagar</t>
  </si>
  <si>
    <t>Moolchand</t>
  </si>
  <si>
    <t>Kailash Coloney</t>
  </si>
  <si>
    <t>Nehru Place</t>
  </si>
  <si>
    <t>Kalkaji Mandir</t>
  </si>
  <si>
    <t>Gobind Puri</t>
  </si>
  <si>
    <t>Okhla</t>
  </si>
  <si>
    <t>Jashola</t>
  </si>
  <si>
    <t>Sarita Vihar</t>
  </si>
  <si>
    <t>Mohan Estate</t>
  </si>
  <si>
    <t>Tughlakabad</t>
  </si>
  <si>
    <t>Badarpur</t>
  </si>
  <si>
    <t>Janpath</t>
  </si>
  <si>
    <t>ITO</t>
  </si>
  <si>
    <t>Sarai</t>
  </si>
  <si>
    <t>NHPC Chowk</t>
  </si>
  <si>
    <t>Mewala Maharajpur</t>
  </si>
  <si>
    <t>Sector 28</t>
  </si>
  <si>
    <t>Badkal Mor</t>
  </si>
  <si>
    <t>Faridabad Old</t>
  </si>
  <si>
    <t>Neelam Chowk Ajronda</t>
  </si>
  <si>
    <t>Bata Chowk</t>
  </si>
  <si>
    <t>Escorts Mujesar</t>
  </si>
  <si>
    <t>Delhi Gate</t>
  </si>
  <si>
    <t>Jama Masjid</t>
  </si>
  <si>
    <t>Lal Quila</t>
  </si>
  <si>
    <t>Kashmere Gate</t>
  </si>
  <si>
    <t>Sant Surdas Sihi</t>
  </si>
  <si>
    <t>Raja Nahar Singh</t>
  </si>
  <si>
    <t>Majlis Park</t>
  </si>
  <si>
    <t>Azadpur L-7</t>
  </si>
  <si>
    <t>Shalimar Bagh</t>
  </si>
  <si>
    <t>Netaji Subhash Place L-7</t>
  </si>
  <si>
    <t>Shakurpur</t>
  </si>
  <si>
    <t>Punjabi Bagh West</t>
  </si>
  <si>
    <t>ESI Hospital</t>
  </si>
  <si>
    <t>Rajouri Garden L-7</t>
  </si>
  <si>
    <t>Mayapuri</t>
  </si>
  <si>
    <t>Naraina Vihar</t>
  </si>
  <si>
    <t>Delhi Cantt</t>
  </si>
  <si>
    <t>DD South Campus</t>
  </si>
  <si>
    <t>SV Moti Bagh</t>
  </si>
  <si>
    <t>Bhikaji Cama Place</t>
  </si>
  <si>
    <t>Sarojini Nagar</t>
  </si>
  <si>
    <t>South Extension</t>
  </si>
  <si>
    <t>Vinobapuri</t>
  </si>
  <si>
    <t>Ashram</t>
  </si>
  <si>
    <t>Hazrat Nizamuddin</t>
  </si>
  <si>
    <t>Mayur VPKT1</t>
  </si>
  <si>
    <t>Trilokpuri</t>
  </si>
  <si>
    <t>East Vinod Nagar</t>
  </si>
  <si>
    <t>Mandawali-West Vinod Nagar</t>
  </si>
  <si>
    <t>IP Extension</t>
  </si>
  <si>
    <t>Karkarduma Court</t>
  </si>
  <si>
    <t>Krishna Nagar</t>
  </si>
  <si>
    <t>East Azad Nagar</t>
  </si>
  <si>
    <t>Jaffrabad</t>
  </si>
  <si>
    <t>Maujpur</t>
  </si>
  <si>
    <t>Gokulpuri</t>
  </si>
  <si>
    <t>Johri Enclave</t>
  </si>
  <si>
    <t>Shiv Vihar</t>
  </si>
  <si>
    <t>Botanical Garden L-8</t>
  </si>
  <si>
    <t>Okhla Bird Sanctuary</t>
  </si>
  <si>
    <t>Kalindi Kunj</t>
  </si>
  <si>
    <t>Jasola Vihar Shaheen Bagh</t>
  </si>
  <si>
    <t>Okhla Vihar</t>
  </si>
  <si>
    <t>Jamia Millia Islamia</t>
  </si>
  <si>
    <t>Sukhdev Vihar</t>
  </si>
  <si>
    <t>Okhla NSIC</t>
  </si>
  <si>
    <t>Kalkaji Mandir L-8</t>
  </si>
  <si>
    <t>Nehru Enclave</t>
  </si>
  <si>
    <t>G.K.Enclave-I</t>
  </si>
  <si>
    <t>Chirag Delhi</t>
  </si>
  <si>
    <t>Panchsheel Park</t>
  </si>
  <si>
    <t>IIT</t>
  </si>
  <si>
    <t>R.K. Puram</t>
  </si>
  <si>
    <t>Munirka</t>
  </si>
  <si>
    <t>Vasant Vihar</t>
  </si>
  <si>
    <t>Shankar Vihar</t>
  </si>
  <si>
    <t>IGD Airport</t>
  </si>
  <si>
    <t>Sadar Bazar</t>
  </si>
  <si>
    <t>PALAM</t>
  </si>
  <si>
    <t>Dashrathpuri</t>
  </si>
  <si>
    <t>Dabri Mor</t>
  </si>
  <si>
    <t>Janakpuri West L-8</t>
  </si>
  <si>
    <t>Nangli</t>
  </si>
  <si>
    <t>NazafGarh</t>
  </si>
  <si>
    <t>Dhansa Bus Stand</t>
  </si>
  <si>
    <t>Sikanderpur</t>
  </si>
  <si>
    <t>PHASE 2</t>
  </si>
  <si>
    <t>Belvedere Towers</t>
  </si>
  <si>
    <t>Cyber City</t>
  </si>
  <si>
    <t>Moulsari Avenue</t>
  </si>
  <si>
    <t>PHASE 3</t>
  </si>
  <si>
    <t>Phase 1</t>
  </si>
  <si>
    <t>Sector 42-43</t>
  </si>
  <si>
    <t>Sector 53-54</t>
  </si>
  <si>
    <t>Sector 54 Chowk</t>
  </si>
  <si>
    <t>Sector 55-56</t>
  </si>
  <si>
    <t>Ridership</t>
  </si>
  <si>
    <t>Dhaula Kuan</t>
  </si>
  <si>
    <t>Dwarka Sector 21</t>
  </si>
  <si>
    <t>IGI Airport</t>
  </si>
  <si>
    <t>Shivaji Stadium</t>
  </si>
  <si>
    <t>Yashobhoomi Dwarka Sector 25</t>
  </si>
  <si>
    <t>AEL</t>
  </si>
  <si>
    <t>Ridership Per day</t>
  </si>
  <si>
    <t>Row Labels</t>
  </si>
  <si>
    <t>Grand Total</t>
  </si>
  <si>
    <t>Sum of Ridership Per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</si>
</sst>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164" fontId="0" fillId="0" borderId="1" xfId="1" applyNumberFormat="1" applyFont="1" applyBorder="1"/>
    <xf numFmtId="164" fontId="0" fillId="0" borderId="0" xfId="1" applyNumberFormat="1" applyFont="1"/>
    <xf numFmtId="164" fontId="0" fillId="0" borderId="0" xfId="0" applyNumberFormat="1"/>
    <xf numFmtId="1" fontId="0" fillId="0" borderId="0" xfId="0" applyNumberForma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0" xfId="0" pivotButton="1"/>
    <xf numFmtId="0" fontId="0" fillId="0" borderId="0" xfId="0" applyAlignment="1">
      <alignment horizontal="left"/>
    </xf>
  </cellXfs>
  <cellStyles count="2">
    <cellStyle name="Comma" xfId="1" builtinId="3"/>
    <cellStyle name="Normal" xfId="0" builtinId="0"/>
  </cellStyles>
  <dxfs count="8">
    <dxf>
      <numFmt numFmtId="164" formatCode="_(* #,##0_);_(* \(#,##0\);_(* &quot;-&quot;??_);_(@_)"/>
    </dxf>
    <dxf>
      <numFmt numFmtId="1" formatCode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itesh Kumar" refreshedDate="45538.747397106483" createdVersion="8" refreshedVersion="8" minRefreshableVersion="3" recordCount="260" xr:uid="{AE4F0F01-E47B-491B-859E-2B70346790DC}">
  <cacheSource type="worksheet">
    <worksheetSource name="Table1"/>
  </cacheSource>
  <cacheFields count="4">
    <cacheField name="lineid" numFmtId="0">
      <sharedItems containsMixedTypes="1" containsNumber="1" containsInteger="1" minValue="1" maxValue="20" count="11">
        <n v="1"/>
        <n v="2"/>
        <n v="3"/>
        <n v="4"/>
        <n v="5"/>
        <n v="6"/>
        <n v="7"/>
        <n v="8"/>
        <n v="9"/>
        <n v="20"/>
        <s v="AEL"/>
      </sharedItems>
    </cacheField>
    <cacheField name="sitename" numFmtId="0">
      <sharedItems/>
    </cacheField>
    <cacheField name="Ridership" numFmtId="0">
      <sharedItems containsSemiMixedTypes="0" containsString="0" containsNumber="1" containsInteger="1" minValue="10103" maxValue="2259730"/>
    </cacheField>
    <cacheField name="Ridership Per day" numFmtId="1">
      <sharedItems containsSemiMixedTypes="0" containsString="0" containsNumber="1" minValue="336.76666666666665" maxValue="75324.3333333333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0">
  <r>
    <x v="0"/>
    <s v="Shahdara"/>
    <n v="811783"/>
    <n v="27059.433333333334"/>
  </r>
  <r>
    <x v="0"/>
    <s v="Welcome"/>
    <n v="155514"/>
    <n v="5183.8"/>
  </r>
  <r>
    <x v="0"/>
    <s v="Seelampur"/>
    <n v="415639"/>
    <n v="13854.633333333333"/>
  </r>
  <r>
    <x v="0"/>
    <s v="Shastri Park"/>
    <n v="309104"/>
    <n v="10303.466666666667"/>
  </r>
  <r>
    <x v="0"/>
    <s v="Kashmere Gate Rail"/>
    <n v="444247"/>
    <n v="14808.233333333334"/>
  </r>
  <r>
    <x v="0"/>
    <s v="Tis Hazari"/>
    <n v="472990"/>
    <n v="15766.333333333334"/>
  </r>
  <r>
    <x v="0"/>
    <s v="Pul Bangash"/>
    <n v="280065"/>
    <n v="9335.5"/>
  </r>
  <r>
    <x v="0"/>
    <s v="Pratap Nagar"/>
    <n v="247850"/>
    <n v="8261.6666666666661"/>
  </r>
  <r>
    <x v="0"/>
    <s v="Shastri Nagar"/>
    <n v="475021"/>
    <n v="15834.033333333333"/>
  </r>
  <r>
    <x v="0"/>
    <s v="Inderlok"/>
    <n v="186252"/>
    <n v="6208.4"/>
  </r>
  <r>
    <x v="0"/>
    <s v="Kanhaiya Nagar"/>
    <n v="192998"/>
    <n v="6433.2666666666664"/>
  </r>
  <r>
    <x v="0"/>
    <s v="Keshav Puram"/>
    <n v="132804"/>
    <n v="4426.8"/>
  </r>
  <r>
    <x v="0"/>
    <s v="Netaji Subhash Place"/>
    <n v="210207"/>
    <n v="7006.9"/>
  </r>
  <r>
    <x v="0"/>
    <s v="Kohat Enclave"/>
    <n v="158770"/>
    <n v="5292.333333333333"/>
  </r>
  <r>
    <x v="0"/>
    <s v="Pitampura"/>
    <n v="400479"/>
    <n v="13349.3"/>
  </r>
  <r>
    <x v="0"/>
    <s v="Rohini East"/>
    <n v="292569"/>
    <n v="9752.2999999999993"/>
  </r>
  <r>
    <x v="0"/>
    <s v="Rohini West"/>
    <n v="593557"/>
    <n v="19785.233333333334"/>
  </r>
  <r>
    <x v="0"/>
    <s v="Rithala"/>
    <n v="953679"/>
    <n v="31789.3"/>
  </r>
  <r>
    <x v="0"/>
    <s v="Mansarovar Park"/>
    <n v="250146"/>
    <n v="8338.2000000000007"/>
  </r>
  <r>
    <x v="0"/>
    <s v="Jhilmil"/>
    <n v="228106"/>
    <n v="7603.5333333333338"/>
  </r>
  <r>
    <x v="0"/>
    <s v="Dilshad Garden"/>
    <n v="363733"/>
    <n v="12124.433333333332"/>
  </r>
  <r>
    <x v="0"/>
    <s v="Shahid Nagar"/>
    <n v="48685"/>
    <n v="1622.8333333333333"/>
  </r>
  <r>
    <x v="0"/>
    <s v="Raj Bagh"/>
    <n v="193987"/>
    <n v="6466.2333333333336"/>
  </r>
  <r>
    <x v="0"/>
    <s v="Maj M.Sharma-Rajendra Nagar"/>
    <n v="120453"/>
    <n v="4015.1"/>
  </r>
  <r>
    <x v="0"/>
    <s v="Shyam Park"/>
    <n v="99319"/>
    <n v="3310.6333333333332"/>
  </r>
  <r>
    <x v="0"/>
    <s v="Mohan Nagar"/>
    <n v="239855"/>
    <n v="7995.166666666667"/>
  </r>
  <r>
    <x v="0"/>
    <s v="Arthala"/>
    <n v="52838"/>
    <n v="1761.2666666666667"/>
  </r>
  <r>
    <x v="0"/>
    <s v="Hindon River"/>
    <n v="91715"/>
    <n v="3057.1666666666665"/>
  </r>
  <r>
    <x v="0"/>
    <s v="Shaheed Sthal-New Bus Adda"/>
    <n v="818954"/>
    <n v="27298.466666666667"/>
  </r>
  <r>
    <x v="1"/>
    <s v="New Delhi"/>
    <n v="2259730"/>
    <n v="75324.333333333328"/>
  </r>
  <r>
    <x v="1"/>
    <s v="Chandni Chowk"/>
    <n v="1903717"/>
    <n v="63457.23333333333"/>
  </r>
  <r>
    <x v="1"/>
    <s v="Huda City Centre"/>
    <n v="1601347"/>
    <n v="53378.23333333333"/>
  </r>
  <r>
    <x v="1"/>
    <s v="Rajiv Chowk"/>
    <n v="1497063"/>
    <n v="49902.1"/>
  </r>
  <r>
    <x v="1"/>
    <s v="Saket"/>
    <n v="1161831"/>
    <n v="38727.699999999997"/>
  </r>
  <r>
    <x v="1"/>
    <s v="GTB Nagar"/>
    <n v="1117241"/>
    <n v="37241.366666666669"/>
  </r>
  <r>
    <x v="1"/>
    <s v="Chhatar Pur"/>
    <n v="1042859"/>
    <n v="34761.966666666667"/>
  </r>
  <r>
    <x v="1"/>
    <s v="MG Road"/>
    <n v="979601"/>
    <n v="32653.366666666665"/>
  </r>
  <r>
    <x v="1"/>
    <s v="Iffco Chowk"/>
    <n v="934960"/>
    <n v="31165.333333333332"/>
  </r>
  <r>
    <x v="1"/>
    <s v="Kashmere Gate Metro"/>
    <n v="918288"/>
    <n v="30609.599999999999"/>
  </r>
  <r>
    <x v="1"/>
    <s v="Sikandar Pur"/>
    <n v="887421"/>
    <n v="29580.7"/>
  </r>
  <r>
    <x v="1"/>
    <s v="Malaviya Nagar"/>
    <n v="749344"/>
    <n v="24978.133333333335"/>
  </r>
  <r>
    <x v="1"/>
    <s v="Vishwa Vidalaya"/>
    <n v="722367"/>
    <n v="24078.9"/>
  </r>
  <r>
    <x v="1"/>
    <s v="Jahangir Puri"/>
    <n v="684589"/>
    <n v="22819.633333333335"/>
  </r>
  <r>
    <x v="1"/>
    <s v="AIIMS"/>
    <n v="683244"/>
    <n v="22774.799999999999"/>
  </r>
  <r>
    <x v="1"/>
    <s v="Chawri Bazar"/>
    <n v="616545"/>
    <n v="20551.5"/>
  </r>
  <r>
    <x v="1"/>
    <s v="Green Park"/>
    <n v="564101"/>
    <n v="18803.366666666665"/>
  </r>
  <r>
    <x v="1"/>
    <s v="Central Secretariat"/>
    <n v="562822"/>
    <n v="18760.733333333334"/>
  </r>
  <r>
    <x v="1"/>
    <s v="Badli"/>
    <n v="515941"/>
    <n v="17198.033333333333"/>
  </r>
  <r>
    <x v="1"/>
    <s v="Guru DronaCharya"/>
    <n v="410997"/>
    <n v="13699.9"/>
  </r>
  <r>
    <x v="1"/>
    <s v="Patel Chowk"/>
    <n v="391998"/>
    <n v="13066.6"/>
  </r>
  <r>
    <x v="1"/>
    <s v="INA"/>
    <n v="330425"/>
    <n v="11014.166666666666"/>
  </r>
  <r>
    <x v="1"/>
    <s v="Arjan Garh"/>
    <n v="323601"/>
    <n v="10786.7"/>
  </r>
  <r>
    <x v="1"/>
    <s v="RohiniSE18"/>
    <n v="299671"/>
    <n v="9989.0333333333328"/>
  </r>
  <r>
    <x v="1"/>
    <s v="Adarsh Nagar"/>
    <n v="292573"/>
    <n v="9752.4333333333325"/>
  </r>
  <r>
    <x v="1"/>
    <s v="Udyog Bhavan"/>
    <n v="282377"/>
    <n v="9412.5666666666675"/>
  </r>
  <r>
    <x v="1"/>
    <s v="Qutab Minar"/>
    <n v="279256"/>
    <n v="9308.5333333333328"/>
  </r>
  <r>
    <x v="1"/>
    <s v="Azadpur"/>
    <n v="260302"/>
    <n v="8676.7333333333336"/>
  </r>
  <r>
    <x v="1"/>
    <s v="Ghitorny"/>
    <n v="223935"/>
    <n v="7464.5"/>
  </r>
  <r>
    <x v="1"/>
    <s v="Sultan Pur"/>
    <n v="219673"/>
    <n v="7322.4333333333334"/>
  </r>
  <r>
    <x v="1"/>
    <s v="Jor Bagh"/>
    <n v="215212"/>
    <n v="7173.7333333333336"/>
  </r>
  <r>
    <x v="1"/>
    <s v="Hauzkhas"/>
    <n v="182495"/>
    <n v="6083.166666666667"/>
  </r>
  <r>
    <x v="1"/>
    <s v="Vidhan Sabha"/>
    <n v="182410"/>
    <n v="6080.333333333333"/>
  </r>
  <r>
    <x v="1"/>
    <s v="Model Town"/>
    <n v="176959"/>
    <n v="5898.6333333333332"/>
  </r>
  <r>
    <x v="1"/>
    <s v="Haider Pur"/>
    <n v="165176"/>
    <n v="5505.8666666666668"/>
  </r>
  <r>
    <x v="1"/>
    <s v="Civil Lines"/>
    <n v="156524"/>
    <n v="5217.4666666666662"/>
  </r>
  <r>
    <x v="1"/>
    <s v="Race Course"/>
    <n v="129429"/>
    <n v="4314.3"/>
  </r>
  <r>
    <x v="2"/>
    <s v="Indraprastha"/>
    <n v="70874"/>
    <n v="2362.4666666666667"/>
  </r>
  <r>
    <x v="2"/>
    <s v="Pragati Maidan"/>
    <n v="305075"/>
    <n v="10169.166666666666"/>
  </r>
  <r>
    <x v="2"/>
    <s v="Mandi House"/>
    <n v="299523"/>
    <n v="9984.1"/>
  </r>
  <r>
    <x v="2"/>
    <s v="Barakhamba Road"/>
    <n v="589281"/>
    <n v="19642.7"/>
  </r>
  <r>
    <x v="2"/>
    <s v="R K Ashram"/>
    <n v="787980"/>
    <n v="26266"/>
  </r>
  <r>
    <x v="2"/>
    <s v="Jhandewalan"/>
    <n v="414824"/>
    <n v="13827.466666666667"/>
  </r>
  <r>
    <x v="2"/>
    <s v="Karol Bagh"/>
    <n v="1220007"/>
    <n v="40666.9"/>
  </r>
  <r>
    <x v="2"/>
    <s v="Rajendra Place"/>
    <n v="694898"/>
    <n v="23163.266666666666"/>
  </r>
  <r>
    <x v="2"/>
    <s v="Patel Nagar"/>
    <n v="357569"/>
    <n v="11918.966666666667"/>
  </r>
  <r>
    <x v="2"/>
    <s v="Shadipur"/>
    <n v="758514"/>
    <n v="25283.8"/>
  </r>
  <r>
    <x v="2"/>
    <s v="Moti Nagar"/>
    <n v="502434"/>
    <n v="16747.8"/>
  </r>
  <r>
    <x v="2"/>
    <s v="Ramesh Nagar"/>
    <n v="264480"/>
    <n v="8816"/>
  </r>
  <r>
    <x v="2"/>
    <s v="Rajouri Garden"/>
    <n v="440047"/>
    <n v="14668.233333333334"/>
  </r>
  <r>
    <x v="2"/>
    <s v="Tagore Garden"/>
    <n v="293868"/>
    <n v="9795.6"/>
  </r>
  <r>
    <x v="2"/>
    <s v="Subhash Nagar"/>
    <n v="552489"/>
    <n v="18416.3"/>
  </r>
  <r>
    <x v="2"/>
    <s v="Tilak Nagar"/>
    <n v="542663"/>
    <n v="18088.766666666666"/>
  </r>
  <r>
    <x v="2"/>
    <s v="Janak Puri E"/>
    <n v="306943"/>
    <n v="10231.433333333332"/>
  </r>
  <r>
    <x v="2"/>
    <s v="Janak Puri W"/>
    <n v="367445"/>
    <n v="12248.166666666666"/>
  </r>
  <r>
    <x v="2"/>
    <s v="Uttam Ngr E"/>
    <n v="1056083"/>
    <n v="35202.76666666667"/>
  </r>
  <r>
    <x v="2"/>
    <s v="Uttam Ngr W"/>
    <n v="559989"/>
    <n v="18666.3"/>
  </r>
  <r>
    <x v="2"/>
    <s v="Nawada"/>
    <n v="633600"/>
    <n v="21120"/>
  </r>
  <r>
    <x v="2"/>
    <s v="Dwarka Mor"/>
    <n v="1172896"/>
    <n v="39096.533333333333"/>
  </r>
  <r>
    <x v="2"/>
    <s v="Dwarka"/>
    <n v="261031"/>
    <n v="8701.0333333333328"/>
  </r>
  <r>
    <x v="2"/>
    <s v="Dwarka SE14"/>
    <n v="317705"/>
    <n v="10590.166666666666"/>
  </r>
  <r>
    <x v="2"/>
    <s v="Dwarka SE13"/>
    <n v="157661"/>
    <n v="5255.3666666666668"/>
  </r>
  <r>
    <x v="2"/>
    <s v="Dwarka SE12"/>
    <n v="221857"/>
    <n v="7395.2333333333336"/>
  </r>
  <r>
    <x v="2"/>
    <s v="Dwarka SE11"/>
    <n v="129401"/>
    <n v="4313.3666666666668"/>
  </r>
  <r>
    <x v="2"/>
    <s v="Dwarka SE10"/>
    <n v="294185"/>
    <n v="9806.1666666666661"/>
  </r>
  <r>
    <x v="2"/>
    <s v="Dwarka SE09"/>
    <n v="174296"/>
    <n v="5809.8666666666668"/>
  </r>
  <r>
    <x v="2"/>
    <s v="Yamuna Bank"/>
    <n v="19624"/>
    <n v="654.13333333333333"/>
  </r>
  <r>
    <x v="2"/>
    <s v="Akshardham"/>
    <n v="481999"/>
    <n v="16066.633333333333"/>
  </r>
  <r>
    <x v="2"/>
    <s v="Mayur VPH1"/>
    <n v="375839"/>
    <n v="12527.966666666667"/>
  </r>
  <r>
    <x v="2"/>
    <s v="Mayur VPH1E"/>
    <n v="94807"/>
    <n v="3160.2333333333331"/>
  </r>
  <r>
    <x v="2"/>
    <s v="New Ashok Nagar"/>
    <n v="352238"/>
    <n v="11741.266666666666"/>
  </r>
  <r>
    <x v="2"/>
    <s v="Noida Sec15"/>
    <n v="748970"/>
    <n v="24965.666666666668"/>
  </r>
  <r>
    <x v="2"/>
    <s v="Noida Sec16"/>
    <n v="632437"/>
    <n v="21081.233333333334"/>
  </r>
  <r>
    <x v="2"/>
    <s v="Noida Sec18"/>
    <n v="632525"/>
    <n v="21084.166666666668"/>
  </r>
  <r>
    <x v="2"/>
    <s v="Golf Course"/>
    <n v="93333"/>
    <n v="3111.1"/>
  </r>
  <r>
    <x v="2"/>
    <s v="City Centre"/>
    <n v="368397"/>
    <n v="12279.9"/>
  </r>
  <r>
    <x v="2"/>
    <s v="Dwarka Sec08"/>
    <n v="99242"/>
    <n v="3308.0666666666666"/>
  </r>
  <r>
    <x v="2"/>
    <s v="Dwarka Sec21"/>
    <n v="459435"/>
    <n v="15314.5"/>
  </r>
  <r>
    <x v="2"/>
    <s v="Sector-34 Noida"/>
    <n v="215476"/>
    <n v="7182.5333333333338"/>
  </r>
  <r>
    <x v="2"/>
    <s v="Sector-52 Noida"/>
    <n v="1173509"/>
    <n v="39116.966666666667"/>
  </r>
  <r>
    <x v="2"/>
    <s v="Sector-61 Noida"/>
    <n v="116363"/>
    <n v="3878.7666666666669"/>
  </r>
  <r>
    <x v="2"/>
    <s v="Sector-59 Noida"/>
    <n v="377009"/>
    <n v="12566.966666666667"/>
  </r>
  <r>
    <x v="2"/>
    <s v="Sector-62 Noida"/>
    <n v="513621"/>
    <n v="17120.7"/>
  </r>
  <r>
    <x v="2"/>
    <s v="Noida Electronic City"/>
    <n v="576167"/>
    <n v="19205.566666666666"/>
  </r>
  <r>
    <x v="3"/>
    <s v="Anand Vihar ISBT"/>
    <n v="839124"/>
    <n v="27970.799999999999"/>
  </r>
  <r>
    <x v="3"/>
    <s v="Karkardooma"/>
    <n v="242349"/>
    <n v="8078.3"/>
  </r>
  <r>
    <x v="3"/>
    <s v="Preet Vihar"/>
    <n v="284851"/>
    <n v="9495.0333333333328"/>
  </r>
  <r>
    <x v="3"/>
    <s v="Nirman Vihar"/>
    <n v="761459"/>
    <n v="25381.966666666667"/>
  </r>
  <r>
    <x v="3"/>
    <s v="Laxmi Nagar"/>
    <n v="859214"/>
    <n v="28640.466666666667"/>
  </r>
  <r>
    <x v="3"/>
    <s v="Kaushambi"/>
    <n v="441241"/>
    <n v="14708.033333333333"/>
  </r>
  <r>
    <x v="3"/>
    <s v="Vaishali"/>
    <n v="827416"/>
    <n v="27580.533333333333"/>
  </r>
  <r>
    <x v="4"/>
    <s v="Inderlok N"/>
    <n v="146402"/>
    <n v="4880.0666666666666"/>
  </r>
  <r>
    <x v="4"/>
    <s v="Ashok Park Main"/>
    <n v="105814"/>
    <n v="3527.1333333333332"/>
  </r>
  <r>
    <x v="4"/>
    <s v="Punjabi Bagh"/>
    <n v="48515"/>
    <n v="1617.1666666666667"/>
  </r>
  <r>
    <x v="4"/>
    <s v="Shivaji Park"/>
    <n v="109203"/>
    <n v="3640.1"/>
  </r>
  <r>
    <x v="4"/>
    <s v="Madi Pur"/>
    <n v="114771"/>
    <n v="3825.7"/>
  </r>
  <r>
    <x v="4"/>
    <s v="Paschim V W"/>
    <n v="110781"/>
    <n v="3692.7"/>
  </r>
  <r>
    <x v="4"/>
    <s v="Paschim V E"/>
    <n v="165928"/>
    <n v="5530.9333333333334"/>
  </r>
  <r>
    <x v="4"/>
    <s v="Peera Garhi"/>
    <n v="347272"/>
    <n v="11575.733333333334"/>
  </r>
  <r>
    <x v="4"/>
    <s v="Udyog Nagar"/>
    <n v="249853"/>
    <n v="8328.4333333333325"/>
  </r>
  <r>
    <x v="4"/>
    <s v="Surajmal Stadium"/>
    <n v="102762"/>
    <n v="3425.4"/>
  </r>
  <r>
    <x v="4"/>
    <s v="Nangloi"/>
    <n v="645028"/>
    <n v="21500.933333333334"/>
  </r>
  <r>
    <x v="4"/>
    <s v="Nangloi Railway Station"/>
    <n v="228251"/>
    <n v="7608.3666666666668"/>
  </r>
  <r>
    <x v="4"/>
    <s v="Rajdhani Park"/>
    <n v="136506"/>
    <n v="4550.2"/>
  </r>
  <r>
    <x v="4"/>
    <s v="Mundka"/>
    <n v="228895"/>
    <n v="7629.833333333333"/>
  </r>
  <r>
    <x v="4"/>
    <s v="Sat Guru Ram Singh"/>
    <n v="78142"/>
    <n v="2604.7333333333331"/>
  </r>
  <r>
    <x v="4"/>
    <s v="Kirti Nagar"/>
    <n v="260475"/>
    <n v="8682.5"/>
  </r>
  <r>
    <x v="4"/>
    <s v="Mundka IA"/>
    <n v="73163"/>
    <n v="2438.7666666666669"/>
  </r>
  <r>
    <x v="4"/>
    <s v="Ghevra"/>
    <n v="168927"/>
    <n v="5630.9"/>
  </r>
  <r>
    <x v="4"/>
    <s v="Tikri Kalan"/>
    <n v="43703"/>
    <n v="1456.7666666666667"/>
  </r>
  <r>
    <x v="4"/>
    <s v="Tikri Border"/>
    <n v="106619"/>
    <n v="3553.9666666666667"/>
  </r>
  <r>
    <x v="4"/>
    <s v="Modern Industrial Estate"/>
    <n v="158779"/>
    <n v="5292.6333333333332"/>
  </r>
  <r>
    <x v="4"/>
    <s v="Bus Stand"/>
    <n v="455409"/>
    <n v="15180.3"/>
  </r>
  <r>
    <x v="4"/>
    <s v="City Park"/>
    <n v="338298"/>
    <n v="11276.6"/>
  </r>
  <r>
    <x v="5"/>
    <s v="Central SecN"/>
    <n v="79979"/>
    <n v="2665.9666666666667"/>
  </r>
  <r>
    <x v="5"/>
    <s v="Khan Market"/>
    <n v="174397"/>
    <n v="5813.2333333333336"/>
  </r>
  <r>
    <x v="5"/>
    <s v="JLN Stadium"/>
    <n v="256169"/>
    <n v="8538.9666666666672"/>
  </r>
  <r>
    <x v="5"/>
    <s v="Jangpura"/>
    <n v="162121"/>
    <n v="5404.0333333333338"/>
  </r>
  <r>
    <x v="5"/>
    <s v="Lajpat Nagar"/>
    <n v="298880"/>
    <n v="9962.6666666666661"/>
  </r>
  <r>
    <x v="5"/>
    <s v="Moolchand"/>
    <n v="183009"/>
    <n v="6100.3"/>
  </r>
  <r>
    <x v="5"/>
    <s v="Kailash Coloney"/>
    <n v="281018"/>
    <n v="9367.2666666666664"/>
  </r>
  <r>
    <x v="5"/>
    <s v="Nehru Place"/>
    <n v="386752"/>
    <n v="12891.733333333334"/>
  </r>
  <r>
    <x v="5"/>
    <s v="Kalkaji Mandir"/>
    <n v="221350"/>
    <n v="7378.333333333333"/>
  </r>
  <r>
    <x v="5"/>
    <s v="Gobind Puri"/>
    <n v="741158"/>
    <n v="24705.266666666666"/>
  </r>
  <r>
    <x v="5"/>
    <s v="Okhla"/>
    <n v="265775"/>
    <n v="8859.1666666666661"/>
  </r>
  <r>
    <x v="5"/>
    <s v="Jashola"/>
    <n v="219275"/>
    <n v="7309.166666666667"/>
  </r>
  <r>
    <x v="5"/>
    <s v="Sarita Vihar"/>
    <n v="241632"/>
    <n v="8054.4"/>
  </r>
  <r>
    <x v="5"/>
    <s v="Mohan Estate"/>
    <n v="214256"/>
    <n v="7141.8666666666668"/>
  </r>
  <r>
    <x v="5"/>
    <s v="Tughlakabad"/>
    <n v="447570"/>
    <n v="14919"/>
  </r>
  <r>
    <x v="5"/>
    <s v="Badarpur"/>
    <n v="510547"/>
    <n v="17018.233333333334"/>
  </r>
  <r>
    <x v="5"/>
    <s v="Janpath"/>
    <n v="200055"/>
    <n v="6668.5"/>
  </r>
  <r>
    <x v="5"/>
    <s v="ITO"/>
    <n v="302156"/>
    <n v="10071.866666666667"/>
  </r>
  <r>
    <x v="5"/>
    <s v="Sarai"/>
    <n v="203227"/>
    <n v="6774.2333333333336"/>
  </r>
  <r>
    <x v="5"/>
    <s v="NHPC Chowk"/>
    <n v="155569"/>
    <n v="5185.6333333333332"/>
  </r>
  <r>
    <x v="5"/>
    <s v="Mewala Maharajpur"/>
    <n v="82450"/>
    <n v="2748.3333333333335"/>
  </r>
  <r>
    <x v="5"/>
    <s v="Sector 28"/>
    <n v="134370"/>
    <n v="4479"/>
  </r>
  <r>
    <x v="5"/>
    <s v="Badkal Mor"/>
    <n v="192201"/>
    <n v="6406.7"/>
  </r>
  <r>
    <x v="5"/>
    <s v="Faridabad Old"/>
    <n v="230262"/>
    <n v="7675.4"/>
  </r>
  <r>
    <x v="5"/>
    <s v="Neelam Chowk Ajronda"/>
    <n v="167859"/>
    <n v="5595.3"/>
  </r>
  <r>
    <x v="5"/>
    <s v="Bata Chowk"/>
    <n v="283812"/>
    <n v="9460.4"/>
  </r>
  <r>
    <x v="5"/>
    <s v="Escorts Mujesar"/>
    <n v="119900"/>
    <n v="3996.6666666666665"/>
  </r>
  <r>
    <x v="5"/>
    <s v="Delhi Gate"/>
    <n v="398749"/>
    <n v="13291.633333333333"/>
  </r>
  <r>
    <x v="5"/>
    <s v="Jama Masjid"/>
    <n v="350917"/>
    <n v="11697.233333333334"/>
  </r>
  <r>
    <x v="5"/>
    <s v="Lal Quila"/>
    <n v="513763"/>
    <n v="17125.433333333334"/>
  </r>
  <r>
    <x v="5"/>
    <s v="Kashmere Gate"/>
    <n v="284973"/>
    <n v="9499.1"/>
  </r>
  <r>
    <x v="5"/>
    <s v="Sant Surdas Sihi"/>
    <n v="79940"/>
    <n v="2664.6666666666665"/>
  </r>
  <r>
    <x v="5"/>
    <s v="Raja Nahar Singh"/>
    <n v="547398"/>
    <n v="18246.599999999999"/>
  </r>
  <r>
    <x v="6"/>
    <s v="Welcome"/>
    <n v="59855"/>
    <n v="1995.1666666666667"/>
  </r>
  <r>
    <x v="6"/>
    <s v="Anand Vihar ISBT"/>
    <n v="305233"/>
    <n v="10174.433333333332"/>
  </r>
  <r>
    <x v="6"/>
    <s v="Karkardooma"/>
    <n v="79305"/>
    <n v="2643.5"/>
  </r>
  <r>
    <x v="6"/>
    <s v="Mayur VPH1"/>
    <n v="85636"/>
    <n v="2854.5333333333333"/>
  </r>
  <r>
    <x v="6"/>
    <s v="INA"/>
    <n v="143729"/>
    <n v="4790.9666666666662"/>
  </r>
  <r>
    <x v="6"/>
    <s v="Lajpat Nagar"/>
    <n v="285696"/>
    <n v="9523.2000000000007"/>
  </r>
  <r>
    <x v="6"/>
    <s v="Majlis Park"/>
    <n v="183773"/>
    <n v="6125.7666666666664"/>
  </r>
  <r>
    <x v="6"/>
    <s v="Azadpur L-7"/>
    <n v="139840"/>
    <n v="4661.333333333333"/>
  </r>
  <r>
    <x v="6"/>
    <s v="Shalimar Bagh"/>
    <n v="276078"/>
    <n v="9202.6"/>
  </r>
  <r>
    <x v="6"/>
    <s v="Netaji Subhash Place L-7"/>
    <n v="311187"/>
    <n v="10372.9"/>
  </r>
  <r>
    <x v="6"/>
    <s v="Shakurpur"/>
    <n v="259564"/>
    <n v="8652.1333333333332"/>
  </r>
  <r>
    <x v="6"/>
    <s v="Punjabi Bagh West"/>
    <n v="154366"/>
    <n v="5145.5333333333338"/>
  </r>
  <r>
    <x v="6"/>
    <s v="ESI Hospital"/>
    <n v="54437"/>
    <n v="1814.5666666666666"/>
  </r>
  <r>
    <x v="6"/>
    <s v="Rajouri Garden L-7"/>
    <n v="178986"/>
    <n v="5966.2"/>
  </r>
  <r>
    <x v="6"/>
    <s v="Mayapuri"/>
    <n v="296564"/>
    <n v="9885.4666666666672"/>
  </r>
  <r>
    <x v="6"/>
    <s v="Naraina Vihar"/>
    <n v="261711"/>
    <n v="8723.7000000000007"/>
  </r>
  <r>
    <x v="6"/>
    <s v="Delhi Cantt"/>
    <n v="148135"/>
    <n v="4937.833333333333"/>
  </r>
  <r>
    <x v="6"/>
    <s v="DD South Campus"/>
    <n v="368724"/>
    <n v="12290.8"/>
  </r>
  <r>
    <x v="6"/>
    <s v="SV Moti Bagh"/>
    <n v="145007"/>
    <n v="4833.5666666666666"/>
  </r>
  <r>
    <x v="6"/>
    <s v="Bhikaji Cama Place"/>
    <n v="380906"/>
    <n v="12696.866666666667"/>
  </r>
  <r>
    <x v="6"/>
    <s v="Sarojini Nagar"/>
    <n v="534026"/>
    <n v="17800.866666666665"/>
  </r>
  <r>
    <x v="6"/>
    <s v="South Extension"/>
    <n v="453207"/>
    <n v="15106.9"/>
  </r>
  <r>
    <x v="6"/>
    <s v="Vinobapuri"/>
    <n v="242684"/>
    <n v="8089.4666666666662"/>
  </r>
  <r>
    <x v="6"/>
    <s v="Ashram"/>
    <n v="240384"/>
    <n v="8012.8"/>
  </r>
  <r>
    <x v="6"/>
    <s v="Hazrat Nizamuddin"/>
    <n v="553249"/>
    <n v="18441.633333333335"/>
  </r>
  <r>
    <x v="6"/>
    <s v="Mayur VPKT1"/>
    <n v="141048"/>
    <n v="4701.6000000000004"/>
  </r>
  <r>
    <x v="6"/>
    <s v="Trilokpuri"/>
    <n v="208072"/>
    <n v="6935.7333333333336"/>
  </r>
  <r>
    <x v="6"/>
    <s v="East Vinod Nagar"/>
    <n v="129369"/>
    <n v="4312.3"/>
  </r>
  <r>
    <x v="6"/>
    <s v="Mandawali-West Vinod Nagar"/>
    <n v="171002"/>
    <n v="5700.0666666666666"/>
  </r>
  <r>
    <x v="6"/>
    <s v="IP Extension"/>
    <n v="125223"/>
    <n v="4174.1000000000004"/>
  </r>
  <r>
    <x v="6"/>
    <s v="Karkarduma Court"/>
    <n v="210338"/>
    <n v="7011.2666666666664"/>
  </r>
  <r>
    <x v="6"/>
    <s v="Krishna Nagar"/>
    <n v="138550"/>
    <n v="4618.333333333333"/>
  </r>
  <r>
    <x v="6"/>
    <s v="East Azad Nagar"/>
    <n v="181045"/>
    <n v="6034.833333333333"/>
  </r>
  <r>
    <x v="6"/>
    <s v="Jaffrabad"/>
    <n v="120584"/>
    <n v="4019.4666666666667"/>
  </r>
  <r>
    <x v="6"/>
    <s v="Maujpur"/>
    <n v="412638"/>
    <n v="13754.6"/>
  </r>
  <r>
    <x v="6"/>
    <s v="Gokulpuri"/>
    <n v="246139"/>
    <n v="8204.6333333333332"/>
  </r>
  <r>
    <x v="6"/>
    <s v="Johri Enclave"/>
    <n v="361670"/>
    <n v="12055.666666666666"/>
  </r>
  <r>
    <x v="6"/>
    <s v="Shiv Vihar"/>
    <n v="484444"/>
    <n v="16148.133333333333"/>
  </r>
  <r>
    <x v="7"/>
    <s v="Hauzkhas"/>
    <n v="398162"/>
    <n v="13272.066666666668"/>
  </r>
  <r>
    <x v="7"/>
    <s v="Botanical Garden L-8"/>
    <n v="1001734"/>
    <n v="33391.133333333331"/>
  </r>
  <r>
    <x v="7"/>
    <s v="Okhla Bird Sanctuary"/>
    <n v="428850"/>
    <n v="14295"/>
  </r>
  <r>
    <x v="7"/>
    <s v="Kalindi Kunj"/>
    <n v="333278"/>
    <n v="11109.266666666666"/>
  </r>
  <r>
    <x v="7"/>
    <s v="Jasola Vihar Shaheen Bagh"/>
    <n v="313404"/>
    <n v="10446.799999999999"/>
  </r>
  <r>
    <x v="7"/>
    <s v="Okhla Vihar"/>
    <n v="135285"/>
    <n v="4509.5"/>
  </r>
  <r>
    <x v="7"/>
    <s v="Jamia Millia Islamia"/>
    <n v="392140"/>
    <n v="13071.333333333334"/>
  </r>
  <r>
    <x v="7"/>
    <s v="Sukhdev Vihar"/>
    <n v="169298"/>
    <n v="5643.2666666666664"/>
  </r>
  <r>
    <x v="7"/>
    <s v="Okhla NSIC"/>
    <n v="151356"/>
    <n v="5045.2"/>
  </r>
  <r>
    <x v="7"/>
    <s v="Kalkaji Mandir L-8"/>
    <n v="147607"/>
    <n v="4920.2333333333336"/>
  </r>
  <r>
    <x v="7"/>
    <s v="Nehru Enclave"/>
    <n v="351020"/>
    <n v="11700.666666666666"/>
  </r>
  <r>
    <x v="7"/>
    <s v="G.K.Enclave-I"/>
    <n v="180474"/>
    <n v="6015.8"/>
  </r>
  <r>
    <x v="7"/>
    <s v="Chirag Delhi"/>
    <n v="258952"/>
    <n v="8631.7333333333336"/>
  </r>
  <r>
    <x v="7"/>
    <s v="Panchsheel Park"/>
    <n v="137155"/>
    <n v="4571.833333333333"/>
  </r>
  <r>
    <x v="7"/>
    <s v="IIT"/>
    <n v="97286"/>
    <n v="3242.8666666666668"/>
  </r>
  <r>
    <x v="7"/>
    <s v="R.K. Puram"/>
    <n v="108926"/>
    <n v="3630.8666666666668"/>
  </r>
  <r>
    <x v="7"/>
    <s v="Munirka"/>
    <n v="350593"/>
    <n v="11686.433333333332"/>
  </r>
  <r>
    <x v="7"/>
    <s v="Vasant Vihar"/>
    <n v="219946"/>
    <n v="7331.5333333333338"/>
  </r>
  <r>
    <x v="7"/>
    <s v="Shankar Vihar"/>
    <n v="37456"/>
    <n v="1248.5333333333333"/>
  </r>
  <r>
    <x v="7"/>
    <s v="IGD Airport"/>
    <n v="115693"/>
    <n v="3856.4333333333334"/>
  </r>
  <r>
    <x v="7"/>
    <s v="Sadar Bazar"/>
    <n v="71802"/>
    <n v="2393.4"/>
  </r>
  <r>
    <x v="7"/>
    <s v="PALAM"/>
    <n v="650306"/>
    <n v="21676.866666666665"/>
  </r>
  <r>
    <x v="7"/>
    <s v="Dashrathpuri"/>
    <n v="414476"/>
    <n v="13815.866666666667"/>
  </r>
  <r>
    <x v="7"/>
    <s v="Dabri Mor"/>
    <n v="372285"/>
    <n v="12409.5"/>
  </r>
  <r>
    <x v="7"/>
    <s v="Janakpuri West L-8"/>
    <n v="393072"/>
    <n v="13102.4"/>
  </r>
  <r>
    <x v="8"/>
    <s v="Dwarka"/>
    <n v="10103"/>
    <n v="336.76666666666665"/>
  </r>
  <r>
    <x v="8"/>
    <s v="Nangli"/>
    <n v="81949"/>
    <n v="2731.6333333333332"/>
  </r>
  <r>
    <x v="8"/>
    <s v="NazafGarh"/>
    <n v="261102"/>
    <n v="8703.4"/>
  </r>
  <r>
    <x v="8"/>
    <s v="Dhansa Bus Stand"/>
    <n v="288142"/>
    <n v="9604.7333333333336"/>
  </r>
  <r>
    <x v="9"/>
    <s v="Sikanderpur"/>
    <n v="49542"/>
    <n v="1651.4"/>
  </r>
  <r>
    <x v="9"/>
    <s v="PHASE 2"/>
    <n v="171612"/>
    <n v="5720.4"/>
  </r>
  <r>
    <x v="9"/>
    <s v="Belvedere Towers"/>
    <n v="85302"/>
    <n v="2843.4"/>
  </r>
  <r>
    <x v="9"/>
    <s v="Cyber City"/>
    <n v="401196"/>
    <n v="13373.2"/>
  </r>
  <r>
    <x v="9"/>
    <s v="Moulsari Avenue"/>
    <n v="147280"/>
    <n v="4909.333333333333"/>
  </r>
  <r>
    <x v="9"/>
    <s v="PHASE 3"/>
    <n v="501660"/>
    <n v="16722"/>
  </r>
  <r>
    <x v="9"/>
    <s v="Phase 1"/>
    <n v="66686"/>
    <n v="2222.8666666666668"/>
  </r>
  <r>
    <x v="9"/>
    <s v="Sector 42-43"/>
    <n v="155460"/>
    <n v="5182"/>
  </r>
  <r>
    <x v="9"/>
    <s v="Sector 53-54"/>
    <n v="119914"/>
    <n v="3997.1333333333332"/>
  </r>
  <r>
    <x v="9"/>
    <s v="Sector 54 Chowk"/>
    <n v="179492"/>
    <n v="5983.0666666666666"/>
  </r>
  <r>
    <x v="9"/>
    <s v="Sector 55-56"/>
    <n v="410690"/>
    <n v="13689.666666666666"/>
  </r>
  <r>
    <x v="10"/>
    <s v="Dhaula Kuan"/>
    <n v="95427"/>
    <n v="3180.9"/>
  </r>
  <r>
    <x v="10"/>
    <s v="Dwarka Sector 21"/>
    <n v="362133"/>
    <n v="12071.1"/>
  </r>
  <r>
    <x v="10"/>
    <s v="IGI Airport"/>
    <n v="292972"/>
    <n v="9765.7333333333336"/>
  </r>
  <r>
    <x v="10"/>
    <s v="New Delhi"/>
    <n v="318054"/>
    <n v="10601.8"/>
  </r>
  <r>
    <x v="10"/>
    <s v="Shivaji Stadium"/>
    <n v="96788"/>
    <n v="3226.2666666666669"/>
  </r>
  <r>
    <x v="10"/>
    <s v="Yashobhoomi Dwarka Sector 25"/>
    <n v="48873"/>
    <n v="1629.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80DD21-CDE3-4309-AEC8-A04CC83C8BA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5" firstHeaderRow="1" firstDataRow="1" firstDataCol="1"/>
  <pivotFields count="4">
    <pivotField axis="axisRow" showAll="0" sortType="descending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numFmtId="1" showAll="0"/>
  </pivotFields>
  <rowFields count="1">
    <field x="0"/>
  </rowFields>
  <rowItems count="12">
    <i>
      <x v="1"/>
    </i>
    <i>
      <x v="2"/>
    </i>
    <i>
      <x/>
    </i>
    <i>
      <x v="6"/>
    </i>
    <i>
      <x v="5"/>
    </i>
    <i>
      <x v="7"/>
    </i>
    <i>
      <x v="4"/>
    </i>
    <i>
      <x v="3"/>
    </i>
    <i>
      <x v="9"/>
    </i>
    <i>
      <x v="10"/>
    </i>
    <i>
      <x v="8"/>
    </i>
    <i t="grand">
      <x/>
    </i>
  </rowItems>
  <colItems count="1">
    <i/>
  </colItems>
  <dataFields count="1">
    <dataField name="Sum of Ridership Per day" fld="3" baseField="0" baseItem="0" numFmtId="164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5C0260-D44A-46CB-8352-AE11C21428F8}" name="Table1" displayName="Table1" ref="A1:D261" totalsRowShown="0" headerRowDxfId="7" headerRowBorderDxfId="6" tableBorderDxfId="5">
  <tableColumns count="4">
    <tableColumn id="1" xr3:uid="{68EA4E0A-9D37-4E6F-9699-1323C49AE884}" name="lineid" dataDxfId="4"/>
    <tableColumn id="2" xr3:uid="{39564434-48BF-4F79-B2F9-56DB99E982B2}" name="sitename" dataDxfId="3"/>
    <tableColumn id="3" xr3:uid="{99D6750F-88D3-4734-B888-472EFA826FA2}" name="Ridership" dataDxfId="2"/>
    <tableColumn id="4" xr3:uid="{21D1FCC1-AF1D-454B-9FD4-16CC38F82F09}" name="Ridership Per day" dataDxfId="1">
      <calculatedColumnFormula>C2/30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FFF10-3FCF-4A7D-9CA2-3ECA4BF4303E}">
  <dimension ref="A3:B15"/>
  <sheetViews>
    <sheetView workbookViewId="0">
      <selection activeCell="B4" sqref="B4"/>
    </sheetView>
  </sheetViews>
  <sheetFormatPr defaultRowHeight="14.5" x14ac:dyDescent="0.35"/>
  <cols>
    <col min="1" max="1" width="12.36328125" bestFit="1" customWidth="1"/>
    <col min="2" max="2" width="21.90625" bestFit="1" customWidth="1"/>
  </cols>
  <sheetData>
    <row r="3" spans="1:2" x14ac:dyDescent="0.35">
      <c r="A3" s="11" t="s">
        <v>256</v>
      </c>
      <c r="B3" t="s">
        <v>258</v>
      </c>
    </row>
    <row r="4" spans="1:2" x14ac:dyDescent="0.35">
      <c r="A4" s="12">
        <v>2</v>
      </c>
      <c r="B4" s="6">
        <v>797534.13333333319</v>
      </c>
    </row>
    <row r="5" spans="1:2" x14ac:dyDescent="0.35">
      <c r="A5" s="12">
        <v>3</v>
      </c>
      <c r="B5" s="6">
        <v>702620.29999999993</v>
      </c>
    </row>
    <row r="6" spans="1:2" x14ac:dyDescent="0.35">
      <c r="A6" s="12">
        <v>1</v>
      </c>
      <c r="B6" s="6">
        <v>308043.96666666667</v>
      </c>
    </row>
    <row r="7" spans="1:2" x14ac:dyDescent="0.35">
      <c r="A7" s="12">
        <v>7</v>
      </c>
      <c r="B7" s="6">
        <v>302413.46666666679</v>
      </c>
    </row>
    <row r="8" spans="1:2" x14ac:dyDescent="0.35">
      <c r="A8" s="12">
        <v>6</v>
      </c>
      <c r="B8" s="6">
        <v>297716.3</v>
      </c>
    </row>
    <row r="9" spans="1:2" x14ac:dyDescent="0.35">
      <c r="A9" s="12">
        <v>8</v>
      </c>
      <c r="B9" s="6">
        <v>241018.5333333333</v>
      </c>
    </row>
    <row r="10" spans="1:2" x14ac:dyDescent="0.35">
      <c r="A10" s="12">
        <v>5</v>
      </c>
      <c r="B10" s="6">
        <v>147449.86666666667</v>
      </c>
    </row>
    <row r="11" spans="1:2" x14ac:dyDescent="0.35">
      <c r="A11" s="12">
        <v>4</v>
      </c>
      <c r="B11" s="6">
        <v>141855.13333333333</v>
      </c>
    </row>
    <row r="12" spans="1:2" x14ac:dyDescent="0.35">
      <c r="A12" s="12">
        <v>20</v>
      </c>
      <c r="B12" s="6">
        <v>76294.466666666674</v>
      </c>
    </row>
    <row r="13" spans="1:2" x14ac:dyDescent="0.35">
      <c r="A13" s="12" t="s">
        <v>254</v>
      </c>
      <c r="B13" s="6">
        <v>40474.9</v>
      </c>
    </row>
    <row r="14" spans="1:2" x14ac:dyDescent="0.35">
      <c r="A14" s="12">
        <v>9</v>
      </c>
      <c r="B14" s="6">
        <v>21376.533333333333</v>
      </c>
    </row>
    <row r="15" spans="1:2" x14ac:dyDescent="0.35">
      <c r="A15" s="12" t="s">
        <v>257</v>
      </c>
      <c r="B15" s="6">
        <v>3076797.5999999996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2"/>
  <sheetViews>
    <sheetView tabSelected="1" workbookViewId="0">
      <selection activeCell="A2" sqref="A2"/>
    </sheetView>
  </sheetViews>
  <sheetFormatPr defaultRowHeight="14.5" x14ac:dyDescent="0.35"/>
  <cols>
    <col min="1" max="1" width="9.1796875" style="1"/>
    <col min="2" max="2" width="28.26953125" bestFit="1" customWidth="1"/>
    <col min="3" max="3" width="13.6328125" bestFit="1" customWidth="1"/>
    <col min="4" max="4" width="17.36328125" customWidth="1"/>
  </cols>
  <sheetData>
    <row r="1" spans="1:4" x14ac:dyDescent="0.35">
      <c r="A1" s="9" t="s">
        <v>0</v>
      </c>
      <c r="B1" s="10" t="s">
        <v>1</v>
      </c>
      <c r="C1" s="10" t="s">
        <v>248</v>
      </c>
      <c r="D1" s="10" t="s">
        <v>255</v>
      </c>
    </row>
    <row r="2" spans="1:4" x14ac:dyDescent="0.35">
      <c r="A2" s="8">
        <v>1</v>
      </c>
      <c r="B2" s="2" t="s">
        <v>2</v>
      </c>
      <c r="C2" s="2">
        <v>811783</v>
      </c>
      <c r="D2" s="7">
        <f>C2/30</f>
        <v>27059.433333333334</v>
      </c>
    </row>
    <row r="3" spans="1:4" x14ac:dyDescent="0.35">
      <c r="A3" s="8">
        <v>1</v>
      </c>
      <c r="B3" s="2" t="s">
        <v>3</v>
      </c>
      <c r="C3" s="2">
        <v>155514</v>
      </c>
      <c r="D3" s="7">
        <f t="shared" ref="D3:D66" si="0">C3/30</f>
        <v>5183.8</v>
      </c>
    </row>
    <row r="4" spans="1:4" x14ac:dyDescent="0.35">
      <c r="A4" s="8">
        <v>1</v>
      </c>
      <c r="B4" s="2" t="s">
        <v>4</v>
      </c>
      <c r="C4" s="2">
        <v>415639</v>
      </c>
      <c r="D4" s="7">
        <f t="shared" si="0"/>
        <v>13854.633333333333</v>
      </c>
    </row>
    <row r="5" spans="1:4" x14ac:dyDescent="0.35">
      <c r="A5" s="8">
        <v>1</v>
      </c>
      <c r="B5" s="2" t="s">
        <v>5</v>
      </c>
      <c r="C5" s="2">
        <v>309104</v>
      </c>
      <c r="D5" s="7">
        <f t="shared" si="0"/>
        <v>10303.466666666667</v>
      </c>
    </row>
    <row r="6" spans="1:4" x14ac:dyDescent="0.35">
      <c r="A6" s="8">
        <v>1</v>
      </c>
      <c r="B6" s="2" t="s">
        <v>6</v>
      </c>
      <c r="C6" s="2">
        <v>444247</v>
      </c>
      <c r="D6" s="7">
        <f t="shared" si="0"/>
        <v>14808.233333333334</v>
      </c>
    </row>
    <row r="7" spans="1:4" x14ac:dyDescent="0.35">
      <c r="A7" s="8">
        <v>1</v>
      </c>
      <c r="B7" s="2" t="s">
        <v>7</v>
      </c>
      <c r="C7" s="2">
        <v>472990</v>
      </c>
      <c r="D7" s="7">
        <f t="shared" si="0"/>
        <v>15766.333333333334</v>
      </c>
    </row>
    <row r="8" spans="1:4" x14ac:dyDescent="0.35">
      <c r="A8" s="8">
        <v>1</v>
      </c>
      <c r="B8" s="2" t="s">
        <v>8</v>
      </c>
      <c r="C8" s="2">
        <v>280065</v>
      </c>
      <c r="D8" s="7">
        <f t="shared" si="0"/>
        <v>9335.5</v>
      </c>
    </row>
    <row r="9" spans="1:4" x14ac:dyDescent="0.35">
      <c r="A9" s="8">
        <v>1</v>
      </c>
      <c r="B9" s="2" t="s">
        <v>9</v>
      </c>
      <c r="C9" s="2">
        <v>247850</v>
      </c>
      <c r="D9" s="7">
        <f t="shared" si="0"/>
        <v>8261.6666666666661</v>
      </c>
    </row>
    <row r="10" spans="1:4" x14ac:dyDescent="0.35">
      <c r="A10" s="8">
        <v>1</v>
      </c>
      <c r="B10" s="2" t="s">
        <v>10</v>
      </c>
      <c r="C10" s="2">
        <v>475021</v>
      </c>
      <c r="D10" s="7">
        <f t="shared" si="0"/>
        <v>15834.033333333333</v>
      </c>
    </row>
    <row r="11" spans="1:4" x14ac:dyDescent="0.35">
      <c r="A11" s="8">
        <v>1</v>
      </c>
      <c r="B11" s="2" t="s">
        <v>11</v>
      </c>
      <c r="C11" s="2">
        <v>186252</v>
      </c>
      <c r="D11" s="7">
        <f t="shared" si="0"/>
        <v>6208.4</v>
      </c>
    </row>
    <row r="12" spans="1:4" x14ac:dyDescent="0.35">
      <c r="A12" s="8">
        <v>1</v>
      </c>
      <c r="B12" s="2" t="s">
        <v>12</v>
      </c>
      <c r="C12" s="2">
        <v>192998</v>
      </c>
      <c r="D12" s="7">
        <f t="shared" si="0"/>
        <v>6433.2666666666664</v>
      </c>
    </row>
    <row r="13" spans="1:4" x14ac:dyDescent="0.35">
      <c r="A13" s="8">
        <v>1</v>
      </c>
      <c r="B13" s="2" t="s">
        <v>13</v>
      </c>
      <c r="C13" s="2">
        <v>132804</v>
      </c>
      <c r="D13" s="7">
        <f t="shared" si="0"/>
        <v>4426.8</v>
      </c>
    </row>
    <row r="14" spans="1:4" x14ac:dyDescent="0.35">
      <c r="A14" s="8">
        <v>1</v>
      </c>
      <c r="B14" s="2" t="s">
        <v>14</v>
      </c>
      <c r="C14" s="2">
        <v>210207</v>
      </c>
      <c r="D14" s="7">
        <f t="shared" si="0"/>
        <v>7006.9</v>
      </c>
    </row>
    <row r="15" spans="1:4" x14ac:dyDescent="0.35">
      <c r="A15" s="8">
        <v>1</v>
      </c>
      <c r="B15" s="2" t="s">
        <v>15</v>
      </c>
      <c r="C15" s="2">
        <v>158770</v>
      </c>
      <c r="D15" s="7">
        <f t="shared" si="0"/>
        <v>5292.333333333333</v>
      </c>
    </row>
    <row r="16" spans="1:4" x14ac:dyDescent="0.35">
      <c r="A16" s="8">
        <v>1</v>
      </c>
      <c r="B16" s="2" t="s">
        <v>16</v>
      </c>
      <c r="C16" s="2">
        <v>400479</v>
      </c>
      <c r="D16" s="7">
        <f t="shared" si="0"/>
        <v>13349.3</v>
      </c>
    </row>
    <row r="17" spans="1:4" x14ac:dyDescent="0.35">
      <c r="A17" s="8">
        <v>1</v>
      </c>
      <c r="B17" s="2" t="s">
        <v>17</v>
      </c>
      <c r="C17" s="2">
        <v>292569</v>
      </c>
      <c r="D17" s="7">
        <f t="shared" si="0"/>
        <v>9752.2999999999993</v>
      </c>
    </row>
    <row r="18" spans="1:4" x14ac:dyDescent="0.35">
      <c r="A18" s="8">
        <v>1</v>
      </c>
      <c r="B18" s="2" t="s">
        <v>18</v>
      </c>
      <c r="C18" s="2">
        <v>593557</v>
      </c>
      <c r="D18" s="7">
        <f t="shared" si="0"/>
        <v>19785.233333333334</v>
      </c>
    </row>
    <row r="19" spans="1:4" x14ac:dyDescent="0.35">
      <c r="A19" s="8">
        <v>1</v>
      </c>
      <c r="B19" s="2" t="s">
        <v>19</v>
      </c>
      <c r="C19" s="2">
        <v>953679</v>
      </c>
      <c r="D19" s="7">
        <f t="shared" si="0"/>
        <v>31789.3</v>
      </c>
    </row>
    <row r="20" spans="1:4" x14ac:dyDescent="0.35">
      <c r="A20" s="8">
        <v>1</v>
      </c>
      <c r="B20" s="2" t="s">
        <v>20</v>
      </c>
      <c r="C20" s="2">
        <v>250146</v>
      </c>
      <c r="D20" s="7">
        <f t="shared" si="0"/>
        <v>8338.2000000000007</v>
      </c>
    </row>
    <row r="21" spans="1:4" x14ac:dyDescent="0.35">
      <c r="A21" s="8">
        <v>1</v>
      </c>
      <c r="B21" s="2" t="s">
        <v>21</v>
      </c>
      <c r="C21" s="2">
        <v>228106</v>
      </c>
      <c r="D21" s="7">
        <f t="shared" si="0"/>
        <v>7603.5333333333338</v>
      </c>
    </row>
    <row r="22" spans="1:4" x14ac:dyDescent="0.35">
      <c r="A22" s="8">
        <v>1</v>
      </c>
      <c r="B22" s="2" t="s">
        <v>22</v>
      </c>
      <c r="C22" s="2">
        <v>363733</v>
      </c>
      <c r="D22" s="7">
        <f t="shared" si="0"/>
        <v>12124.433333333332</v>
      </c>
    </row>
    <row r="23" spans="1:4" x14ac:dyDescent="0.35">
      <c r="A23" s="8">
        <v>1</v>
      </c>
      <c r="B23" s="2" t="s">
        <v>23</v>
      </c>
      <c r="C23" s="2">
        <v>48685</v>
      </c>
      <c r="D23" s="7">
        <f t="shared" si="0"/>
        <v>1622.8333333333333</v>
      </c>
    </row>
    <row r="24" spans="1:4" x14ac:dyDescent="0.35">
      <c r="A24" s="8">
        <v>1</v>
      </c>
      <c r="B24" s="2" t="s">
        <v>24</v>
      </c>
      <c r="C24" s="2">
        <v>193987</v>
      </c>
      <c r="D24" s="7">
        <f t="shared" si="0"/>
        <v>6466.2333333333336</v>
      </c>
    </row>
    <row r="25" spans="1:4" x14ac:dyDescent="0.35">
      <c r="A25" s="8">
        <v>1</v>
      </c>
      <c r="B25" s="2" t="s">
        <v>25</v>
      </c>
      <c r="C25" s="2">
        <v>120453</v>
      </c>
      <c r="D25" s="7">
        <f t="shared" si="0"/>
        <v>4015.1</v>
      </c>
    </row>
    <row r="26" spans="1:4" x14ac:dyDescent="0.35">
      <c r="A26" s="8">
        <v>1</v>
      </c>
      <c r="B26" s="2" t="s">
        <v>26</v>
      </c>
      <c r="C26" s="2">
        <v>99319</v>
      </c>
      <c r="D26" s="7">
        <f t="shared" si="0"/>
        <v>3310.6333333333332</v>
      </c>
    </row>
    <row r="27" spans="1:4" x14ac:dyDescent="0.35">
      <c r="A27" s="8">
        <v>1</v>
      </c>
      <c r="B27" s="2" t="s">
        <v>27</v>
      </c>
      <c r="C27" s="2">
        <v>239855</v>
      </c>
      <c r="D27" s="7">
        <f t="shared" si="0"/>
        <v>7995.166666666667</v>
      </c>
    </row>
    <row r="28" spans="1:4" x14ac:dyDescent="0.35">
      <c r="A28" s="8">
        <v>1</v>
      </c>
      <c r="B28" s="2" t="s">
        <v>28</v>
      </c>
      <c r="C28" s="2">
        <v>52838</v>
      </c>
      <c r="D28" s="7">
        <f t="shared" si="0"/>
        <v>1761.2666666666667</v>
      </c>
    </row>
    <row r="29" spans="1:4" x14ac:dyDescent="0.35">
      <c r="A29" s="8">
        <v>1</v>
      </c>
      <c r="B29" s="2" t="s">
        <v>29</v>
      </c>
      <c r="C29" s="2">
        <v>91715</v>
      </c>
      <c r="D29" s="7">
        <f t="shared" si="0"/>
        <v>3057.1666666666665</v>
      </c>
    </row>
    <row r="30" spans="1:4" x14ac:dyDescent="0.35">
      <c r="A30" s="8">
        <v>1</v>
      </c>
      <c r="B30" s="2" t="s">
        <v>30</v>
      </c>
      <c r="C30" s="2">
        <v>818954</v>
      </c>
      <c r="D30" s="7">
        <f t="shared" si="0"/>
        <v>27298.466666666667</v>
      </c>
    </row>
    <row r="31" spans="1:4" x14ac:dyDescent="0.35">
      <c r="A31" s="8">
        <v>2</v>
      </c>
      <c r="B31" s="2" t="s">
        <v>37</v>
      </c>
      <c r="C31" s="4">
        <v>2259730</v>
      </c>
      <c r="D31" s="7">
        <f t="shared" si="0"/>
        <v>75324.333333333328</v>
      </c>
    </row>
    <row r="32" spans="1:4" x14ac:dyDescent="0.35">
      <c r="A32" s="8">
        <v>2</v>
      </c>
      <c r="B32" s="2" t="s">
        <v>35</v>
      </c>
      <c r="C32" s="2">
        <v>1903717</v>
      </c>
      <c r="D32" s="7">
        <f t="shared" si="0"/>
        <v>63457.23333333333</v>
      </c>
    </row>
    <row r="33" spans="1:4" x14ac:dyDescent="0.35">
      <c r="A33" s="8">
        <v>2</v>
      </c>
      <c r="B33" s="2" t="s">
        <v>64</v>
      </c>
      <c r="C33" s="2">
        <v>1601347</v>
      </c>
      <c r="D33" s="7">
        <f t="shared" si="0"/>
        <v>53378.23333333333</v>
      </c>
    </row>
    <row r="34" spans="1:4" x14ac:dyDescent="0.35">
      <c r="A34" s="8">
        <v>2</v>
      </c>
      <c r="B34" s="2" t="s">
        <v>38</v>
      </c>
      <c r="C34" s="2">
        <v>1497063</v>
      </c>
      <c r="D34" s="7">
        <f t="shared" si="0"/>
        <v>49902.1</v>
      </c>
    </row>
    <row r="35" spans="1:4" x14ac:dyDescent="0.35">
      <c r="A35" s="8">
        <v>2</v>
      </c>
      <c r="B35" s="2" t="s">
        <v>54</v>
      </c>
      <c r="C35" s="2">
        <v>1161831</v>
      </c>
      <c r="D35" s="7">
        <f t="shared" si="0"/>
        <v>38727.699999999997</v>
      </c>
    </row>
    <row r="36" spans="1:4" x14ac:dyDescent="0.35">
      <c r="A36" s="8">
        <v>2</v>
      </c>
      <c r="B36" s="2" t="s">
        <v>45</v>
      </c>
      <c r="C36" s="2">
        <v>1117241</v>
      </c>
      <c r="D36" s="7">
        <f t="shared" si="0"/>
        <v>37241.366666666669</v>
      </c>
    </row>
    <row r="37" spans="1:4" x14ac:dyDescent="0.35">
      <c r="A37" s="8">
        <v>2</v>
      </c>
      <c r="B37" s="2" t="s">
        <v>56</v>
      </c>
      <c r="C37" s="2">
        <v>1042859</v>
      </c>
      <c r="D37" s="7">
        <f t="shared" si="0"/>
        <v>34761.966666666667</v>
      </c>
    </row>
    <row r="38" spans="1:4" x14ac:dyDescent="0.35">
      <c r="A38" s="8">
        <v>2</v>
      </c>
      <c r="B38" s="2" t="s">
        <v>62</v>
      </c>
      <c r="C38" s="2">
        <v>979601</v>
      </c>
      <c r="D38" s="7">
        <f t="shared" si="0"/>
        <v>32653.366666666665</v>
      </c>
    </row>
    <row r="39" spans="1:4" x14ac:dyDescent="0.35">
      <c r="A39" s="8">
        <v>2</v>
      </c>
      <c r="B39" s="2" t="s">
        <v>63</v>
      </c>
      <c r="C39" s="2">
        <v>934960</v>
      </c>
      <c r="D39" s="7">
        <f t="shared" si="0"/>
        <v>31165.333333333332</v>
      </c>
    </row>
    <row r="40" spans="1:4" x14ac:dyDescent="0.35">
      <c r="A40" s="8">
        <v>2</v>
      </c>
      <c r="B40" s="2" t="s">
        <v>34</v>
      </c>
      <c r="C40" s="2">
        <v>918288</v>
      </c>
      <c r="D40" s="7">
        <f t="shared" si="0"/>
        <v>30609.599999999999</v>
      </c>
    </row>
    <row r="41" spans="1:4" x14ac:dyDescent="0.35">
      <c r="A41" s="8">
        <v>2</v>
      </c>
      <c r="B41" s="2" t="s">
        <v>61</v>
      </c>
      <c r="C41" s="2">
        <v>887421</v>
      </c>
      <c r="D41" s="7">
        <f t="shared" si="0"/>
        <v>29580.7</v>
      </c>
    </row>
    <row r="42" spans="1:4" x14ac:dyDescent="0.35">
      <c r="A42" s="8">
        <v>2</v>
      </c>
      <c r="B42" s="2" t="s">
        <v>53</v>
      </c>
      <c r="C42" s="2">
        <v>749344</v>
      </c>
      <c r="D42" s="7">
        <f t="shared" si="0"/>
        <v>24978.133333333335</v>
      </c>
    </row>
    <row r="43" spans="1:4" x14ac:dyDescent="0.35">
      <c r="A43" s="8">
        <v>2</v>
      </c>
      <c r="B43" s="2" t="s">
        <v>31</v>
      </c>
      <c r="C43" s="2">
        <v>722367</v>
      </c>
      <c r="D43" s="7">
        <f t="shared" si="0"/>
        <v>24078.9</v>
      </c>
    </row>
    <row r="44" spans="1:4" x14ac:dyDescent="0.35">
      <c r="A44" s="8">
        <v>2</v>
      </c>
      <c r="B44" s="2" t="s">
        <v>41</v>
      </c>
      <c r="C44" s="2">
        <v>684589</v>
      </c>
      <c r="D44" s="7">
        <f t="shared" si="0"/>
        <v>22819.633333333335</v>
      </c>
    </row>
    <row r="45" spans="1:4" x14ac:dyDescent="0.35">
      <c r="A45" s="8">
        <v>2</v>
      </c>
      <c r="B45" s="2" t="s">
        <v>50</v>
      </c>
      <c r="C45" s="2">
        <v>683244</v>
      </c>
      <c r="D45" s="7">
        <f t="shared" si="0"/>
        <v>22774.799999999999</v>
      </c>
    </row>
    <row r="46" spans="1:4" x14ac:dyDescent="0.35">
      <c r="A46" s="8">
        <v>2</v>
      </c>
      <c r="B46" s="2" t="s">
        <v>36</v>
      </c>
      <c r="C46" s="2">
        <v>616545</v>
      </c>
      <c r="D46" s="7">
        <f t="shared" si="0"/>
        <v>20551.5</v>
      </c>
    </row>
    <row r="47" spans="1:4" x14ac:dyDescent="0.35">
      <c r="A47" s="8">
        <v>2</v>
      </c>
      <c r="B47" s="2" t="s">
        <v>51</v>
      </c>
      <c r="C47" s="2">
        <v>564101</v>
      </c>
      <c r="D47" s="7">
        <f t="shared" si="0"/>
        <v>18803.366666666665</v>
      </c>
    </row>
    <row r="48" spans="1:4" x14ac:dyDescent="0.35">
      <c r="A48" s="8">
        <v>2</v>
      </c>
      <c r="B48" s="2" t="s">
        <v>40</v>
      </c>
      <c r="C48" s="2">
        <v>562822</v>
      </c>
      <c r="D48" s="7">
        <f t="shared" si="0"/>
        <v>18760.733333333334</v>
      </c>
    </row>
    <row r="49" spans="1:4" x14ac:dyDescent="0.35">
      <c r="A49" s="8">
        <v>2</v>
      </c>
      <c r="B49" s="2" t="s">
        <v>67</v>
      </c>
      <c r="C49" s="2">
        <v>515941</v>
      </c>
      <c r="D49" s="7">
        <f t="shared" si="0"/>
        <v>17198.033333333333</v>
      </c>
    </row>
    <row r="50" spans="1:4" x14ac:dyDescent="0.35">
      <c r="A50" s="8">
        <v>2</v>
      </c>
      <c r="B50" s="2" t="s">
        <v>60</v>
      </c>
      <c r="C50" s="2">
        <v>410997</v>
      </c>
      <c r="D50" s="7">
        <f t="shared" si="0"/>
        <v>13699.9</v>
      </c>
    </row>
    <row r="51" spans="1:4" x14ac:dyDescent="0.35">
      <c r="A51" s="8">
        <v>2</v>
      </c>
      <c r="B51" s="2" t="s">
        <v>39</v>
      </c>
      <c r="C51" s="2">
        <v>391998</v>
      </c>
      <c r="D51" s="7">
        <f t="shared" si="0"/>
        <v>13066.6</v>
      </c>
    </row>
    <row r="52" spans="1:4" x14ac:dyDescent="0.35">
      <c r="A52" s="8">
        <v>2</v>
      </c>
      <c r="B52" s="2" t="s">
        <v>49</v>
      </c>
      <c r="C52" s="2">
        <v>330425</v>
      </c>
      <c r="D52" s="7">
        <f t="shared" si="0"/>
        <v>11014.166666666666</v>
      </c>
    </row>
    <row r="53" spans="1:4" x14ac:dyDescent="0.35">
      <c r="A53" s="8">
        <v>2</v>
      </c>
      <c r="B53" s="2" t="s">
        <v>59</v>
      </c>
      <c r="C53" s="2">
        <v>323601</v>
      </c>
      <c r="D53" s="7">
        <f t="shared" si="0"/>
        <v>10786.7</v>
      </c>
    </row>
    <row r="54" spans="1:4" x14ac:dyDescent="0.35">
      <c r="A54" s="8">
        <v>2</v>
      </c>
      <c r="B54" s="2" t="s">
        <v>66</v>
      </c>
      <c r="C54" s="2">
        <v>299671</v>
      </c>
      <c r="D54" s="7">
        <f t="shared" si="0"/>
        <v>9989.0333333333328</v>
      </c>
    </row>
    <row r="55" spans="1:4" x14ac:dyDescent="0.35">
      <c r="A55" s="8">
        <v>2</v>
      </c>
      <c r="B55" s="2" t="s">
        <v>42</v>
      </c>
      <c r="C55" s="2">
        <v>292573</v>
      </c>
      <c r="D55" s="7">
        <f t="shared" si="0"/>
        <v>9752.4333333333325</v>
      </c>
    </row>
    <row r="56" spans="1:4" x14ac:dyDescent="0.35">
      <c r="A56" s="8">
        <v>2</v>
      </c>
      <c r="B56" s="2" t="s">
        <v>46</v>
      </c>
      <c r="C56" s="2">
        <v>282377</v>
      </c>
      <c r="D56" s="7">
        <f t="shared" si="0"/>
        <v>9412.5666666666675</v>
      </c>
    </row>
    <row r="57" spans="1:4" x14ac:dyDescent="0.35">
      <c r="A57" s="8">
        <v>2</v>
      </c>
      <c r="B57" s="2" t="s">
        <v>55</v>
      </c>
      <c r="C57" s="2">
        <v>279256</v>
      </c>
      <c r="D57" s="7">
        <f t="shared" si="0"/>
        <v>9308.5333333333328</v>
      </c>
    </row>
    <row r="58" spans="1:4" x14ac:dyDescent="0.35">
      <c r="A58" s="8">
        <v>2</v>
      </c>
      <c r="B58" s="2" t="s">
        <v>43</v>
      </c>
      <c r="C58" s="2">
        <v>260302</v>
      </c>
      <c r="D58" s="7">
        <f t="shared" si="0"/>
        <v>8676.7333333333336</v>
      </c>
    </row>
    <row r="59" spans="1:4" x14ac:dyDescent="0.35">
      <c r="A59" s="8">
        <v>2</v>
      </c>
      <c r="B59" s="2" t="s">
        <v>58</v>
      </c>
      <c r="C59" s="2">
        <v>223935</v>
      </c>
      <c r="D59" s="7">
        <f t="shared" si="0"/>
        <v>7464.5</v>
      </c>
    </row>
    <row r="60" spans="1:4" x14ac:dyDescent="0.35">
      <c r="A60" s="8">
        <v>2</v>
      </c>
      <c r="B60" s="2" t="s">
        <v>57</v>
      </c>
      <c r="C60" s="2">
        <v>219673</v>
      </c>
      <c r="D60" s="7">
        <f t="shared" si="0"/>
        <v>7322.4333333333334</v>
      </c>
    </row>
    <row r="61" spans="1:4" x14ac:dyDescent="0.35">
      <c r="A61" s="8">
        <v>2</v>
      </c>
      <c r="B61" s="2" t="s">
        <v>48</v>
      </c>
      <c r="C61" s="2">
        <v>215212</v>
      </c>
      <c r="D61" s="7">
        <f t="shared" si="0"/>
        <v>7173.7333333333336</v>
      </c>
    </row>
    <row r="62" spans="1:4" x14ac:dyDescent="0.35">
      <c r="A62" s="8">
        <v>2</v>
      </c>
      <c r="B62" s="2" t="s">
        <v>52</v>
      </c>
      <c r="C62" s="2">
        <v>182495</v>
      </c>
      <c r="D62" s="7">
        <f t="shared" si="0"/>
        <v>6083.166666666667</v>
      </c>
    </row>
    <row r="63" spans="1:4" x14ac:dyDescent="0.35">
      <c r="A63" s="8">
        <v>2</v>
      </c>
      <c r="B63" s="2" t="s">
        <v>32</v>
      </c>
      <c r="C63" s="2">
        <v>182410</v>
      </c>
      <c r="D63" s="7">
        <f t="shared" si="0"/>
        <v>6080.333333333333</v>
      </c>
    </row>
    <row r="64" spans="1:4" x14ac:dyDescent="0.35">
      <c r="A64" s="8">
        <v>2</v>
      </c>
      <c r="B64" s="2" t="s">
        <v>44</v>
      </c>
      <c r="C64" s="2">
        <v>176959</v>
      </c>
      <c r="D64" s="7">
        <f t="shared" si="0"/>
        <v>5898.6333333333332</v>
      </c>
    </row>
    <row r="65" spans="1:4" x14ac:dyDescent="0.35">
      <c r="A65" s="8">
        <v>2</v>
      </c>
      <c r="B65" s="2" t="s">
        <v>65</v>
      </c>
      <c r="C65" s="2">
        <v>165176</v>
      </c>
      <c r="D65" s="7">
        <f t="shared" si="0"/>
        <v>5505.8666666666668</v>
      </c>
    </row>
    <row r="66" spans="1:4" x14ac:dyDescent="0.35">
      <c r="A66" s="8">
        <v>2</v>
      </c>
      <c r="B66" s="2" t="s">
        <v>33</v>
      </c>
      <c r="C66" s="2">
        <v>156524</v>
      </c>
      <c r="D66" s="7">
        <f t="shared" si="0"/>
        <v>5217.4666666666662</v>
      </c>
    </row>
    <row r="67" spans="1:4" x14ac:dyDescent="0.35">
      <c r="A67" s="8">
        <v>2</v>
      </c>
      <c r="B67" s="2" t="s">
        <v>47</v>
      </c>
      <c r="C67" s="2">
        <v>129429</v>
      </c>
      <c r="D67" s="7">
        <f t="shared" ref="D67:D130" si="1">C67/30</f>
        <v>4314.3</v>
      </c>
    </row>
    <row r="68" spans="1:4" x14ac:dyDescent="0.35">
      <c r="A68" s="8">
        <v>3</v>
      </c>
      <c r="B68" s="2" t="s">
        <v>68</v>
      </c>
      <c r="C68" s="2">
        <v>70874</v>
      </c>
      <c r="D68" s="7">
        <f t="shared" si="1"/>
        <v>2362.4666666666667</v>
      </c>
    </row>
    <row r="69" spans="1:4" x14ac:dyDescent="0.35">
      <c r="A69" s="8">
        <v>3</v>
      </c>
      <c r="B69" s="2" t="s">
        <v>69</v>
      </c>
      <c r="C69" s="2">
        <v>305075</v>
      </c>
      <c r="D69" s="7">
        <f t="shared" si="1"/>
        <v>10169.166666666666</v>
      </c>
    </row>
    <row r="70" spans="1:4" x14ac:dyDescent="0.35">
      <c r="A70" s="8">
        <v>3</v>
      </c>
      <c r="B70" s="2" t="s">
        <v>70</v>
      </c>
      <c r="C70" s="2">
        <v>299523</v>
      </c>
      <c r="D70" s="7">
        <f t="shared" si="1"/>
        <v>9984.1</v>
      </c>
    </row>
    <row r="71" spans="1:4" x14ac:dyDescent="0.35">
      <c r="A71" s="8">
        <v>3</v>
      </c>
      <c r="B71" s="2" t="s">
        <v>71</v>
      </c>
      <c r="C71" s="2">
        <v>589281</v>
      </c>
      <c r="D71" s="7">
        <f t="shared" si="1"/>
        <v>19642.7</v>
      </c>
    </row>
    <row r="72" spans="1:4" x14ac:dyDescent="0.35">
      <c r="A72" s="8">
        <v>3</v>
      </c>
      <c r="B72" s="2" t="s">
        <v>72</v>
      </c>
      <c r="C72" s="2">
        <v>787980</v>
      </c>
      <c r="D72" s="7">
        <f t="shared" si="1"/>
        <v>26266</v>
      </c>
    </row>
    <row r="73" spans="1:4" x14ac:dyDescent="0.35">
      <c r="A73" s="8">
        <v>3</v>
      </c>
      <c r="B73" s="2" t="s">
        <v>73</v>
      </c>
      <c r="C73" s="2">
        <v>414824</v>
      </c>
      <c r="D73" s="7">
        <f t="shared" si="1"/>
        <v>13827.466666666667</v>
      </c>
    </row>
    <row r="74" spans="1:4" x14ac:dyDescent="0.35">
      <c r="A74" s="8">
        <v>3</v>
      </c>
      <c r="B74" s="2" t="s">
        <v>74</v>
      </c>
      <c r="C74" s="2">
        <v>1220007</v>
      </c>
      <c r="D74" s="7">
        <f t="shared" si="1"/>
        <v>40666.9</v>
      </c>
    </row>
    <row r="75" spans="1:4" x14ac:dyDescent="0.35">
      <c r="A75" s="8">
        <v>3</v>
      </c>
      <c r="B75" s="2" t="s">
        <v>75</v>
      </c>
      <c r="C75" s="2">
        <v>694898</v>
      </c>
      <c r="D75" s="7">
        <f t="shared" si="1"/>
        <v>23163.266666666666</v>
      </c>
    </row>
    <row r="76" spans="1:4" x14ac:dyDescent="0.35">
      <c r="A76" s="8">
        <v>3</v>
      </c>
      <c r="B76" s="2" t="s">
        <v>76</v>
      </c>
      <c r="C76" s="2">
        <v>357569</v>
      </c>
      <c r="D76" s="7">
        <f t="shared" si="1"/>
        <v>11918.966666666667</v>
      </c>
    </row>
    <row r="77" spans="1:4" x14ac:dyDescent="0.35">
      <c r="A77" s="8">
        <v>3</v>
      </c>
      <c r="B77" s="2" t="s">
        <v>77</v>
      </c>
      <c r="C77" s="2">
        <v>758514</v>
      </c>
      <c r="D77" s="7">
        <f t="shared" si="1"/>
        <v>25283.8</v>
      </c>
    </row>
    <row r="78" spans="1:4" x14ac:dyDescent="0.35">
      <c r="A78" s="8">
        <v>3</v>
      </c>
      <c r="B78" s="2" t="s">
        <v>78</v>
      </c>
      <c r="C78" s="2">
        <v>502434</v>
      </c>
      <c r="D78" s="7">
        <f t="shared" si="1"/>
        <v>16747.8</v>
      </c>
    </row>
    <row r="79" spans="1:4" x14ac:dyDescent="0.35">
      <c r="A79" s="8">
        <v>3</v>
      </c>
      <c r="B79" s="2" t="s">
        <v>79</v>
      </c>
      <c r="C79" s="2">
        <v>264480</v>
      </c>
      <c r="D79" s="7">
        <f t="shared" si="1"/>
        <v>8816</v>
      </c>
    </row>
    <row r="80" spans="1:4" x14ac:dyDescent="0.35">
      <c r="A80" s="8">
        <v>3</v>
      </c>
      <c r="B80" s="2" t="s">
        <v>80</v>
      </c>
      <c r="C80" s="2">
        <v>440047</v>
      </c>
      <c r="D80" s="7">
        <f t="shared" si="1"/>
        <v>14668.233333333334</v>
      </c>
    </row>
    <row r="81" spans="1:4" x14ac:dyDescent="0.35">
      <c r="A81" s="8">
        <v>3</v>
      </c>
      <c r="B81" s="2" t="s">
        <v>81</v>
      </c>
      <c r="C81" s="2">
        <v>293868</v>
      </c>
      <c r="D81" s="7">
        <f t="shared" si="1"/>
        <v>9795.6</v>
      </c>
    </row>
    <row r="82" spans="1:4" x14ac:dyDescent="0.35">
      <c r="A82" s="8">
        <v>3</v>
      </c>
      <c r="B82" s="2" t="s">
        <v>82</v>
      </c>
      <c r="C82" s="2">
        <v>552489</v>
      </c>
      <c r="D82" s="7">
        <f t="shared" si="1"/>
        <v>18416.3</v>
      </c>
    </row>
    <row r="83" spans="1:4" x14ac:dyDescent="0.35">
      <c r="A83" s="8">
        <v>3</v>
      </c>
      <c r="B83" s="2" t="s">
        <v>83</v>
      </c>
      <c r="C83" s="2">
        <v>542663</v>
      </c>
      <c r="D83" s="7">
        <f t="shared" si="1"/>
        <v>18088.766666666666</v>
      </c>
    </row>
    <row r="84" spans="1:4" x14ac:dyDescent="0.35">
      <c r="A84" s="8">
        <v>3</v>
      </c>
      <c r="B84" s="2" t="s">
        <v>84</v>
      </c>
      <c r="C84" s="2">
        <v>306943</v>
      </c>
      <c r="D84" s="7">
        <f t="shared" si="1"/>
        <v>10231.433333333332</v>
      </c>
    </row>
    <row r="85" spans="1:4" x14ac:dyDescent="0.35">
      <c r="A85" s="8">
        <v>3</v>
      </c>
      <c r="B85" s="2" t="s">
        <v>85</v>
      </c>
      <c r="C85" s="2">
        <v>367445</v>
      </c>
      <c r="D85" s="7">
        <f t="shared" si="1"/>
        <v>12248.166666666666</v>
      </c>
    </row>
    <row r="86" spans="1:4" x14ac:dyDescent="0.35">
      <c r="A86" s="8">
        <v>3</v>
      </c>
      <c r="B86" s="2" t="s">
        <v>86</v>
      </c>
      <c r="C86" s="2">
        <v>1056083</v>
      </c>
      <c r="D86" s="7">
        <f t="shared" si="1"/>
        <v>35202.76666666667</v>
      </c>
    </row>
    <row r="87" spans="1:4" x14ac:dyDescent="0.35">
      <c r="A87" s="8">
        <v>3</v>
      </c>
      <c r="B87" s="2" t="s">
        <v>87</v>
      </c>
      <c r="C87" s="2">
        <v>559989</v>
      </c>
      <c r="D87" s="7">
        <f t="shared" si="1"/>
        <v>18666.3</v>
      </c>
    </row>
    <row r="88" spans="1:4" x14ac:dyDescent="0.35">
      <c r="A88" s="8">
        <v>3</v>
      </c>
      <c r="B88" s="2" t="s">
        <v>88</v>
      </c>
      <c r="C88" s="2">
        <v>633600</v>
      </c>
      <c r="D88" s="7">
        <f t="shared" si="1"/>
        <v>21120</v>
      </c>
    </row>
    <row r="89" spans="1:4" x14ac:dyDescent="0.35">
      <c r="A89" s="8">
        <v>3</v>
      </c>
      <c r="B89" s="2" t="s">
        <v>89</v>
      </c>
      <c r="C89" s="2">
        <v>1172896</v>
      </c>
      <c r="D89" s="7">
        <f t="shared" si="1"/>
        <v>39096.533333333333</v>
      </c>
    </row>
    <row r="90" spans="1:4" x14ac:dyDescent="0.35">
      <c r="A90" s="8">
        <v>3</v>
      </c>
      <c r="B90" s="2" t="s">
        <v>90</v>
      </c>
      <c r="C90" s="2">
        <v>261031</v>
      </c>
      <c r="D90" s="7">
        <f t="shared" si="1"/>
        <v>8701.0333333333328</v>
      </c>
    </row>
    <row r="91" spans="1:4" x14ac:dyDescent="0.35">
      <c r="A91" s="8">
        <v>3</v>
      </c>
      <c r="B91" s="2" t="s">
        <v>91</v>
      </c>
      <c r="C91" s="2">
        <v>317705</v>
      </c>
      <c r="D91" s="7">
        <f t="shared" si="1"/>
        <v>10590.166666666666</v>
      </c>
    </row>
    <row r="92" spans="1:4" x14ac:dyDescent="0.35">
      <c r="A92" s="8">
        <v>3</v>
      </c>
      <c r="B92" s="2" t="s">
        <v>92</v>
      </c>
      <c r="C92" s="2">
        <v>157661</v>
      </c>
      <c r="D92" s="7">
        <f t="shared" si="1"/>
        <v>5255.3666666666668</v>
      </c>
    </row>
    <row r="93" spans="1:4" x14ac:dyDescent="0.35">
      <c r="A93" s="8">
        <v>3</v>
      </c>
      <c r="B93" s="2" t="s">
        <v>93</v>
      </c>
      <c r="C93" s="2">
        <v>221857</v>
      </c>
      <c r="D93" s="7">
        <f t="shared" si="1"/>
        <v>7395.2333333333336</v>
      </c>
    </row>
    <row r="94" spans="1:4" x14ac:dyDescent="0.35">
      <c r="A94" s="8">
        <v>3</v>
      </c>
      <c r="B94" s="2" t="s">
        <v>94</v>
      </c>
      <c r="C94" s="2">
        <v>129401</v>
      </c>
      <c r="D94" s="7">
        <f t="shared" si="1"/>
        <v>4313.3666666666668</v>
      </c>
    </row>
    <row r="95" spans="1:4" x14ac:dyDescent="0.35">
      <c r="A95" s="8">
        <v>3</v>
      </c>
      <c r="B95" s="2" t="s">
        <v>95</v>
      </c>
      <c r="C95" s="2">
        <v>294185</v>
      </c>
      <c r="D95" s="7">
        <f t="shared" si="1"/>
        <v>9806.1666666666661</v>
      </c>
    </row>
    <row r="96" spans="1:4" x14ac:dyDescent="0.35">
      <c r="A96" s="8">
        <v>3</v>
      </c>
      <c r="B96" s="2" t="s">
        <v>96</v>
      </c>
      <c r="C96" s="2">
        <v>174296</v>
      </c>
      <c r="D96" s="7">
        <f t="shared" si="1"/>
        <v>5809.8666666666668</v>
      </c>
    </row>
    <row r="97" spans="1:4" x14ac:dyDescent="0.35">
      <c r="A97" s="8">
        <v>3</v>
      </c>
      <c r="B97" s="2" t="s">
        <v>97</v>
      </c>
      <c r="C97" s="2">
        <v>19624</v>
      </c>
      <c r="D97" s="7">
        <f t="shared" si="1"/>
        <v>654.13333333333333</v>
      </c>
    </row>
    <row r="98" spans="1:4" x14ac:dyDescent="0.35">
      <c r="A98" s="8">
        <v>3</v>
      </c>
      <c r="B98" s="2" t="s">
        <v>98</v>
      </c>
      <c r="C98" s="2">
        <v>481999</v>
      </c>
      <c r="D98" s="7">
        <f t="shared" si="1"/>
        <v>16066.633333333333</v>
      </c>
    </row>
    <row r="99" spans="1:4" x14ac:dyDescent="0.35">
      <c r="A99" s="8">
        <v>3</v>
      </c>
      <c r="B99" s="2" t="s">
        <v>99</v>
      </c>
      <c r="C99" s="2">
        <v>375839</v>
      </c>
      <c r="D99" s="7">
        <f t="shared" si="1"/>
        <v>12527.966666666667</v>
      </c>
    </row>
    <row r="100" spans="1:4" x14ac:dyDescent="0.35">
      <c r="A100" s="8">
        <v>3</v>
      </c>
      <c r="B100" s="2" t="s">
        <v>100</v>
      </c>
      <c r="C100" s="2">
        <v>94807</v>
      </c>
      <c r="D100" s="7">
        <f t="shared" si="1"/>
        <v>3160.2333333333331</v>
      </c>
    </row>
    <row r="101" spans="1:4" x14ac:dyDescent="0.35">
      <c r="A101" s="8">
        <v>3</v>
      </c>
      <c r="B101" s="2" t="s">
        <v>101</v>
      </c>
      <c r="C101" s="2">
        <v>352238</v>
      </c>
      <c r="D101" s="7">
        <f t="shared" si="1"/>
        <v>11741.266666666666</v>
      </c>
    </row>
    <row r="102" spans="1:4" x14ac:dyDescent="0.35">
      <c r="A102" s="8">
        <v>3</v>
      </c>
      <c r="B102" s="2" t="s">
        <v>102</v>
      </c>
      <c r="C102" s="2">
        <v>748970</v>
      </c>
      <c r="D102" s="7">
        <f t="shared" si="1"/>
        <v>24965.666666666668</v>
      </c>
    </row>
    <row r="103" spans="1:4" x14ac:dyDescent="0.35">
      <c r="A103" s="8">
        <v>3</v>
      </c>
      <c r="B103" s="2" t="s">
        <v>103</v>
      </c>
      <c r="C103" s="2">
        <v>632437</v>
      </c>
      <c r="D103" s="7">
        <f t="shared" si="1"/>
        <v>21081.233333333334</v>
      </c>
    </row>
    <row r="104" spans="1:4" x14ac:dyDescent="0.35">
      <c r="A104" s="8">
        <v>3</v>
      </c>
      <c r="B104" s="2" t="s">
        <v>104</v>
      </c>
      <c r="C104" s="2">
        <v>632525</v>
      </c>
      <c r="D104" s="7">
        <f t="shared" si="1"/>
        <v>21084.166666666668</v>
      </c>
    </row>
    <row r="105" spans="1:4" x14ac:dyDescent="0.35">
      <c r="A105" s="8">
        <v>3</v>
      </c>
      <c r="B105" s="2" t="s">
        <v>105</v>
      </c>
      <c r="C105" s="2">
        <v>93333</v>
      </c>
      <c r="D105" s="7">
        <f t="shared" si="1"/>
        <v>3111.1</v>
      </c>
    </row>
    <row r="106" spans="1:4" x14ac:dyDescent="0.35">
      <c r="A106" s="8">
        <v>3</v>
      </c>
      <c r="B106" s="2" t="s">
        <v>106</v>
      </c>
      <c r="C106" s="2">
        <v>368397</v>
      </c>
      <c r="D106" s="7">
        <f t="shared" si="1"/>
        <v>12279.9</v>
      </c>
    </row>
    <row r="107" spans="1:4" x14ac:dyDescent="0.35">
      <c r="A107" s="8">
        <v>3</v>
      </c>
      <c r="B107" s="2" t="s">
        <v>107</v>
      </c>
      <c r="C107" s="2">
        <v>99242</v>
      </c>
      <c r="D107" s="7">
        <f t="shared" si="1"/>
        <v>3308.0666666666666</v>
      </c>
    </row>
    <row r="108" spans="1:4" x14ac:dyDescent="0.35">
      <c r="A108" s="8">
        <v>3</v>
      </c>
      <c r="B108" s="2" t="s">
        <v>108</v>
      </c>
      <c r="C108" s="2">
        <v>459435</v>
      </c>
      <c r="D108" s="7">
        <f t="shared" si="1"/>
        <v>15314.5</v>
      </c>
    </row>
    <row r="109" spans="1:4" x14ac:dyDescent="0.35">
      <c r="A109" s="8">
        <v>3</v>
      </c>
      <c r="B109" s="2" t="s">
        <v>109</v>
      </c>
      <c r="C109" s="2">
        <v>215476</v>
      </c>
      <c r="D109" s="7">
        <f t="shared" si="1"/>
        <v>7182.5333333333338</v>
      </c>
    </row>
    <row r="110" spans="1:4" x14ac:dyDescent="0.35">
      <c r="A110" s="8">
        <v>3</v>
      </c>
      <c r="B110" s="2" t="s">
        <v>110</v>
      </c>
      <c r="C110" s="2">
        <v>1173509</v>
      </c>
      <c r="D110" s="7">
        <f t="shared" si="1"/>
        <v>39116.966666666667</v>
      </c>
    </row>
    <row r="111" spans="1:4" x14ac:dyDescent="0.35">
      <c r="A111" s="8">
        <v>3</v>
      </c>
      <c r="B111" s="2" t="s">
        <v>111</v>
      </c>
      <c r="C111" s="2">
        <v>116363</v>
      </c>
      <c r="D111" s="7">
        <f t="shared" si="1"/>
        <v>3878.7666666666669</v>
      </c>
    </row>
    <row r="112" spans="1:4" x14ac:dyDescent="0.35">
      <c r="A112" s="8">
        <v>3</v>
      </c>
      <c r="B112" s="2" t="s">
        <v>112</v>
      </c>
      <c r="C112" s="2">
        <v>377009</v>
      </c>
      <c r="D112" s="7">
        <f t="shared" si="1"/>
        <v>12566.966666666667</v>
      </c>
    </row>
    <row r="113" spans="1:4" x14ac:dyDescent="0.35">
      <c r="A113" s="8">
        <v>3</v>
      </c>
      <c r="B113" s="2" t="s">
        <v>113</v>
      </c>
      <c r="C113" s="2">
        <v>513621</v>
      </c>
      <c r="D113" s="7">
        <f t="shared" si="1"/>
        <v>17120.7</v>
      </c>
    </row>
    <row r="114" spans="1:4" x14ac:dyDescent="0.35">
      <c r="A114" s="8">
        <v>3</v>
      </c>
      <c r="B114" s="2" t="s">
        <v>114</v>
      </c>
      <c r="C114" s="2">
        <v>576167</v>
      </c>
      <c r="D114" s="7">
        <f t="shared" si="1"/>
        <v>19205.566666666666</v>
      </c>
    </row>
    <row r="115" spans="1:4" x14ac:dyDescent="0.35">
      <c r="A115" s="8">
        <v>4</v>
      </c>
      <c r="B115" s="2" t="s">
        <v>115</v>
      </c>
      <c r="C115" s="2">
        <v>839124</v>
      </c>
      <c r="D115" s="7">
        <f t="shared" si="1"/>
        <v>27970.799999999999</v>
      </c>
    </row>
    <row r="116" spans="1:4" x14ac:dyDescent="0.35">
      <c r="A116" s="8">
        <v>4</v>
      </c>
      <c r="B116" s="2" t="s">
        <v>116</v>
      </c>
      <c r="C116" s="2">
        <v>242349</v>
      </c>
      <c r="D116" s="7">
        <f t="shared" si="1"/>
        <v>8078.3</v>
      </c>
    </row>
    <row r="117" spans="1:4" x14ac:dyDescent="0.35">
      <c r="A117" s="8">
        <v>4</v>
      </c>
      <c r="B117" s="2" t="s">
        <v>117</v>
      </c>
      <c r="C117" s="2">
        <v>284851</v>
      </c>
      <c r="D117" s="7">
        <f t="shared" si="1"/>
        <v>9495.0333333333328</v>
      </c>
    </row>
    <row r="118" spans="1:4" x14ac:dyDescent="0.35">
      <c r="A118" s="8">
        <v>4</v>
      </c>
      <c r="B118" s="2" t="s">
        <v>118</v>
      </c>
      <c r="C118" s="2">
        <v>761459</v>
      </c>
      <c r="D118" s="7">
        <f t="shared" si="1"/>
        <v>25381.966666666667</v>
      </c>
    </row>
    <row r="119" spans="1:4" x14ac:dyDescent="0.35">
      <c r="A119" s="8">
        <v>4</v>
      </c>
      <c r="B119" s="2" t="s">
        <v>119</v>
      </c>
      <c r="C119" s="2">
        <v>859214</v>
      </c>
      <c r="D119" s="7">
        <f t="shared" si="1"/>
        <v>28640.466666666667</v>
      </c>
    </row>
    <row r="120" spans="1:4" x14ac:dyDescent="0.35">
      <c r="A120" s="8">
        <v>4</v>
      </c>
      <c r="B120" s="2" t="s">
        <v>120</v>
      </c>
      <c r="C120" s="2">
        <v>441241</v>
      </c>
      <c r="D120" s="7">
        <f t="shared" si="1"/>
        <v>14708.033333333333</v>
      </c>
    </row>
    <row r="121" spans="1:4" x14ac:dyDescent="0.35">
      <c r="A121" s="8">
        <v>4</v>
      </c>
      <c r="B121" s="2" t="s">
        <v>121</v>
      </c>
      <c r="C121" s="2">
        <v>827416</v>
      </c>
      <c r="D121" s="7">
        <f t="shared" si="1"/>
        <v>27580.533333333333</v>
      </c>
    </row>
    <row r="122" spans="1:4" x14ac:dyDescent="0.35">
      <c r="A122" s="8">
        <v>5</v>
      </c>
      <c r="B122" s="2" t="s">
        <v>122</v>
      </c>
      <c r="C122" s="2">
        <v>146402</v>
      </c>
      <c r="D122" s="7">
        <f t="shared" si="1"/>
        <v>4880.0666666666666</v>
      </c>
    </row>
    <row r="123" spans="1:4" x14ac:dyDescent="0.35">
      <c r="A123" s="8">
        <v>5</v>
      </c>
      <c r="B123" s="2" t="s">
        <v>123</v>
      </c>
      <c r="C123" s="2">
        <v>105814</v>
      </c>
      <c r="D123" s="7">
        <f t="shared" si="1"/>
        <v>3527.1333333333332</v>
      </c>
    </row>
    <row r="124" spans="1:4" x14ac:dyDescent="0.35">
      <c r="A124" s="8">
        <v>5</v>
      </c>
      <c r="B124" s="2" t="s">
        <v>124</v>
      </c>
      <c r="C124" s="2">
        <v>48515</v>
      </c>
      <c r="D124" s="7">
        <f t="shared" si="1"/>
        <v>1617.1666666666667</v>
      </c>
    </row>
    <row r="125" spans="1:4" x14ac:dyDescent="0.35">
      <c r="A125" s="8">
        <v>5</v>
      </c>
      <c r="B125" s="2" t="s">
        <v>125</v>
      </c>
      <c r="C125" s="2">
        <v>109203</v>
      </c>
      <c r="D125" s="7">
        <f t="shared" si="1"/>
        <v>3640.1</v>
      </c>
    </row>
    <row r="126" spans="1:4" x14ac:dyDescent="0.35">
      <c r="A126" s="8">
        <v>5</v>
      </c>
      <c r="B126" s="2" t="s">
        <v>126</v>
      </c>
      <c r="C126" s="2">
        <v>114771</v>
      </c>
      <c r="D126" s="7">
        <f t="shared" si="1"/>
        <v>3825.7</v>
      </c>
    </row>
    <row r="127" spans="1:4" x14ac:dyDescent="0.35">
      <c r="A127" s="8">
        <v>5</v>
      </c>
      <c r="B127" s="2" t="s">
        <v>127</v>
      </c>
      <c r="C127" s="2">
        <v>110781</v>
      </c>
      <c r="D127" s="7">
        <f t="shared" si="1"/>
        <v>3692.7</v>
      </c>
    </row>
    <row r="128" spans="1:4" x14ac:dyDescent="0.35">
      <c r="A128" s="8">
        <v>5</v>
      </c>
      <c r="B128" s="2" t="s">
        <v>128</v>
      </c>
      <c r="C128" s="2">
        <v>165928</v>
      </c>
      <c r="D128" s="7">
        <f t="shared" si="1"/>
        <v>5530.9333333333334</v>
      </c>
    </row>
    <row r="129" spans="1:4" x14ac:dyDescent="0.35">
      <c r="A129" s="8">
        <v>5</v>
      </c>
      <c r="B129" s="2" t="s">
        <v>129</v>
      </c>
      <c r="C129" s="2">
        <v>347272</v>
      </c>
      <c r="D129" s="7">
        <f t="shared" si="1"/>
        <v>11575.733333333334</v>
      </c>
    </row>
    <row r="130" spans="1:4" x14ac:dyDescent="0.35">
      <c r="A130" s="8">
        <v>5</v>
      </c>
      <c r="B130" s="2" t="s">
        <v>130</v>
      </c>
      <c r="C130" s="2">
        <v>249853</v>
      </c>
      <c r="D130" s="7">
        <f t="shared" si="1"/>
        <v>8328.4333333333325</v>
      </c>
    </row>
    <row r="131" spans="1:4" x14ac:dyDescent="0.35">
      <c r="A131" s="8">
        <v>5</v>
      </c>
      <c r="B131" s="2" t="s">
        <v>131</v>
      </c>
      <c r="C131" s="2">
        <v>102762</v>
      </c>
      <c r="D131" s="7">
        <f t="shared" ref="D131:D194" si="2">C131/30</f>
        <v>3425.4</v>
      </c>
    </row>
    <row r="132" spans="1:4" x14ac:dyDescent="0.35">
      <c r="A132" s="8">
        <v>5</v>
      </c>
      <c r="B132" s="2" t="s">
        <v>132</v>
      </c>
      <c r="C132" s="2">
        <v>645028</v>
      </c>
      <c r="D132" s="7">
        <f t="shared" si="2"/>
        <v>21500.933333333334</v>
      </c>
    </row>
    <row r="133" spans="1:4" x14ac:dyDescent="0.35">
      <c r="A133" s="8">
        <v>5</v>
      </c>
      <c r="B133" s="2" t="s">
        <v>133</v>
      </c>
      <c r="C133" s="2">
        <v>228251</v>
      </c>
      <c r="D133" s="7">
        <f t="shared" si="2"/>
        <v>7608.3666666666668</v>
      </c>
    </row>
    <row r="134" spans="1:4" x14ac:dyDescent="0.35">
      <c r="A134" s="8">
        <v>5</v>
      </c>
      <c r="B134" s="2" t="s">
        <v>134</v>
      </c>
      <c r="C134" s="2">
        <v>136506</v>
      </c>
      <c r="D134" s="7">
        <f t="shared" si="2"/>
        <v>4550.2</v>
      </c>
    </row>
    <row r="135" spans="1:4" x14ac:dyDescent="0.35">
      <c r="A135" s="8">
        <v>5</v>
      </c>
      <c r="B135" s="2" t="s">
        <v>135</v>
      </c>
      <c r="C135" s="2">
        <v>228895</v>
      </c>
      <c r="D135" s="7">
        <f t="shared" si="2"/>
        <v>7629.833333333333</v>
      </c>
    </row>
    <row r="136" spans="1:4" x14ac:dyDescent="0.35">
      <c r="A136" s="8">
        <v>5</v>
      </c>
      <c r="B136" s="2" t="s">
        <v>136</v>
      </c>
      <c r="C136" s="2">
        <v>78142</v>
      </c>
      <c r="D136" s="7">
        <f t="shared" si="2"/>
        <v>2604.7333333333331</v>
      </c>
    </row>
    <row r="137" spans="1:4" x14ac:dyDescent="0.35">
      <c r="A137" s="8">
        <v>5</v>
      </c>
      <c r="B137" s="2" t="s">
        <v>137</v>
      </c>
      <c r="C137" s="2">
        <v>260475</v>
      </c>
      <c r="D137" s="7">
        <f t="shared" si="2"/>
        <v>8682.5</v>
      </c>
    </row>
    <row r="138" spans="1:4" x14ac:dyDescent="0.35">
      <c r="A138" s="8">
        <v>5</v>
      </c>
      <c r="B138" s="2" t="s">
        <v>138</v>
      </c>
      <c r="C138" s="2">
        <v>73163</v>
      </c>
      <c r="D138" s="7">
        <f t="shared" si="2"/>
        <v>2438.7666666666669</v>
      </c>
    </row>
    <row r="139" spans="1:4" x14ac:dyDescent="0.35">
      <c r="A139" s="8">
        <v>5</v>
      </c>
      <c r="B139" s="2" t="s">
        <v>139</v>
      </c>
      <c r="C139" s="2">
        <v>168927</v>
      </c>
      <c r="D139" s="7">
        <f t="shared" si="2"/>
        <v>5630.9</v>
      </c>
    </row>
    <row r="140" spans="1:4" x14ac:dyDescent="0.35">
      <c r="A140" s="8">
        <v>5</v>
      </c>
      <c r="B140" s="2" t="s">
        <v>140</v>
      </c>
      <c r="C140" s="2">
        <v>43703</v>
      </c>
      <c r="D140" s="7">
        <f t="shared" si="2"/>
        <v>1456.7666666666667</v>
      </c>
    </row>
    <row r="141" spans="1:4" x14ac:dyDescent="0.35">
      <c r="A141" s="8">
        <v>5</v>
      </c>
      <c r="B141" s="2" t="s">
        <v>141</v>
      </c>
      <c r="C141" s="2">
        <v>106619</v>
      </c>
      <c r="D141" s="7">
        <f t="shared" si="2"/>
        <v>3553.9666666666667</v>
      </c>
    </row>
    <row r="142" spans="1:4" x14ac:dyDescent="0.35">
      <c r="A142" s="8">
        <v>5</v>
      </c>
      <c r="B142" s="2" t="s">
        <v>142</v>
      </c>
      <c r="C142" s="2">
        <v>158779</v>
      </c>
      <c r="D142" s="7">
        <f t="shared" si="2"/>
        <v>5292.6333333333332</v>
      </c>
    </row>
    <row r="143" spans="1:4" x14ac:dyDescent="0.35">
      <c r="A143" s="8">
        <v>5</v>
      </c>
      <c r="B143" s="2" t="s">
        <v>143</v>
      </c>
      <c r="C143" s="2">
        <v>455409</v>
      </c>
      <c r="D143" s="7">
        <f t="shared" si="2"/>
        <v>15180.3</v>
      </c>
    </row>
    <row r="144" spans="1:4" x14ac:dyDescent="0.35">
      <c r="A144" s="8">
        <v>5</v>
      </c>
      <c r="B144" s="2" t="s">
        <v>144</v>
      </c>
      <c r="C144" s="2">
        <v>338298</v>
      </c>
      <c r="D144" s="7">
        <f t="shared" si="2"/>
        <v>11276.6</v>
      </c>
    </row>
    <row r="145" spans="1:4" x14ac:dyDescent="0.35">
      <c r="A145" s="8">
        <v>6</v>
      </c>
      <c r="B145" s="2" t="s">
        <v>145</v>
      </c>
      <c r="C145" s="2">
        <v>79979</v>
      </c>
      <c r="D145" s="7">
        <f t="shared" si="2"/>
        <v>2665.9666666666667</v>
      </c>
    </row>
    <row r="146" spans="1:4" x14ac:dyDescent="0.35">
      <c r="A146" s="8">
        <v>6</v>
      </c>
      <c r="B146" s="2" t="s">
        <v>146</v>
      </c>
      <c r="C146" s="2">
        <v>174397</v>
      </c>
      <c r="D146" s="7">
        <f t="shared" si="2"/>
        <v>5813.2333333333336</v>
      </c>
    </row>
    <row r="147" spans="1:4" x14ac:dyDescent="0.35">
      <c r="A147" s="8">
        <v>6</v>
      </c>
      <c r="B147" s="2" t="s">
        <v>147</v>
      </c>
      <c r="C147" s="2">
        <v>256169</v>
      </c>
      <c r="D147" s="7">
        <f t="shared" si="2"/>
        <v>8538.9666666666672</v>
      </c>
    </row>
    <row r="148" spans="1:4" x14ac:dyDescent="0.35">
      <c r="A148" s="8">
        <v>6</v>
      </c>
      <c r="B148" s="2" t="s">
        <v>148</v>
      </c>
      <c r="C148" s="2">
        <v>162121</v>
      </c>
      <c r="D148" s="7">
        <f t="shared" si="2"/>
        <v>5404.0333333333338</v>
      </c>
    </row>
    <row r="149" spans="1:4" x14ac:dyDescent="0.35">
      <c r="A149" s="8">
        <v>6</v>
      </c>
      <c r="B149" s="2" t="s">
        <v>149</v>
      </c>
      <c r="C149" s="2">
        <v>298880</v>
      </c>
      <c r="D149" s="7">
        <f t="shared" si="2"/>
        <v>9962.6666666666661</v>
      </c>
    </row>
    <row r="150" spans="1:4" x14ac:dyDescent="0.35">
      <c r="A150" s="8">
        <v>6</v>
      </c>
      <c r="B150" s="2" t="s">
        <v>150</v>
      </c>
      <c r="C150" s="2">
        <v>183009</v>
      </c>
      <c r="D150" s="7">
        <f t="shared" si="2"/>
        <v>6100.3</v>
      </c>
    </row>
    <row r="151" spans="1:4" x14ac:dyDescent="0.35">
      <c r="A151" s="8">
        <v>6</v>
      </c>
      <c r="B151" s="2" t="s">
        <v>151</v>
      </c>
      <c r="C151" s="2">
        <v>281018</v>
      </c>
      <c r="D151" s="7">
        <f t="shared" si="2"/>
        <v>9367.2666666666664</v>
      </c>
    </row>
    <row r="152" spans="1:4" x14ac:dyDescent="0.35">
      <c r="A152" s="8">
        <v>6</v>
      </c>
      <c r="B152" s="2" t="s">
        <v>152</v>
      </c>
      <c r="C152" s="2">
        <v>386752</v>
      </c>
      <c r="D152" s="7">
        <f t="shared" si="2"/>
        <v>12891.733333333334</v>
      </c>
    </row>
    <row r="153" spans="1:4" x14ac:dyDescent="0.35">
      <c r="A153" s="8">
        <v>6</v>
      </c>
      <c r="B153" s="2" t="s">
        <v>153</v>
      </c>
      <c r="C153" s="2">
        <v>221350</v>
      </c>
      <c r="D153" s="7">
        <f t="shared" si="2"/>
        <v>7378.333333333333</v>
      </c>
    </row>
    <row r="154" spans="1:4" x14ac:dyDescent="0.35">
      <c r="A154" s="8">
        <v>6</v>
      </c>
      <c r="B154" s="2" t="s">
        <v>154</v>
      </c>
      <c r="C154" s="2">
        <v>741158</v>
      </c>
      <c r="D154" s="7">
        <f t="shared" si="2"/>
        <v>24705.266666666666</v>
      </c>
    </row>
    <row r="155" spans="1:4" x14ac:dyDescent="0.35">
      <c r="A155" s="8">
        <v>6</v>
      </c>
      <c r="B155" s="2" t="s">
        <v>155</v>
      </c>
      <c r="C155" s="2">
        <v>265775</v>
      </c>
      <c r="D155" s="7">
        <f t="shared" si="2"/>
        <v>8859.1666666666661</v>
      </c>
    </row>
    <row r="156" spans="1:4" x14ac:dyDescent="0.35">
      <c r="A156" s="8">
        <v>6</v>
      </c>
      <c r="B156" s="2" t="s">
        <v>156</v>
      </c>
      <c r="C156" s="2">
        <v>219275</v>
      </c>
      <c r="D156" s="7">
        <f t="shared" si="2"/>
        <v>7309.166666666667</v>
      </c>
    </row>
    <row r="157" spans="1:4" x14ac:dyDescent="0.35">
      <c r="A157" s="8">
        <v>6</v>
      </c>
      <c r="B157" s="2" t="s">
        <v>157</v>
      </c>
      <c r="C157" s="2">
        <v>241632</v>
      </c>
      <c r="D157" s="7">
        <f t="shared" si="2"/>
        <v>8054.4</v>
      </c>
    </row>
    <row r="158" spans="1:4" x14ac:dyDescent="0.35">
      <c r="A158" s="8">
        <v>6</v>
      </c>
      <c r="B158" s="2" t="s">
        <v>158</v>
      </c>
      <c r="C158" s="2">
        <v>214256</v>
      </c>
      <c r="D158" s="7">
        <f t="shared" si="2"/>
        <v>7141.8666666666668</v>
      </c>
    </row>
    <row r="159" spans="1:4" x14ac:dyDescent="0.35">
      <c r="A159" s="8">
        <v>6</v>
      </c>
      <c r="B159" s="2" t="s">
        <v>159</v>
      </c>
      <c r="C159" s="2">
        <v>447570</v>
      </c>
      <c r="D159" s="7">
        <f t="shared" si="2"/>
        <v>14919</v>
      </c>
    </row>
    <row r="160" spans="1:4" x14ac:dyDescent="0.35">
      <c r="A160" s="8">
        <v>6</v>
      </c>
      <c r="B160" s="2" t="s">
        <v>160</v>
      </c>
      <c r="C160" s="2">
        <v>510547</v>
      </c>
      <c r="D160" s="7">
        <f t="shared" si="2"/>
        <v>17018.233333333334</v>
      </c>
    </row>
    <row r="161" spans="1:4" x14ac:dyDescent="0.35">
      <c r="A161" s="8">
        <v>6</v>
      </c>
      <c r="B161" s="2" t="s">
        <v>161</v>
      </c>
      <c r="C161" s="2">
        <v>200055</v>
      </c>
      <c r="D161" s="7">
        <f t="shared" si="2"/>
        <v>6668.5</v>
      </c>
    </row>
    <row r="162" spans="1:4" x14ac:dyDescent="0.35">
      <c r="A162" s="8">
        <v>6</v>
      </c>
      <c r="B162" s="2" t="s">
        <v>162</v>
      </c>
      <c r="C162" s="2">
        <v>302156</v>
      </c>
      <c r="D162" s="7">
        <f t="shared" si="2"/>
        <v>10071.866666666667</v>
      </c>
    </row>
    <row r="163" spans="1:4" x14ac:dyDescent="0.35">
      <c r="A163" s="8">
        <v>6</v>
      </c>
      <c r="B163" s="2" t="s">
        <v>163</v>
      </c>
      <c r="C163" s="2">
        <v>203227</v>
      </c>
      <c r="D163" s="7">
        <f t="shared" si="2"/>
        <v>6774.2333333333336</v>
      </c>
    </row>
    <row r="164" spans="1:4" x14ac:dyDescent="0.35">
      <c r="A164" s="8">
        <v>6</v>
      </c>
      <c r="B164" s="2" t="s">
        <v>164</v>
      </c>
      <c r="C164" s="2">
        <v>155569</v>
      </c>
      <c r="D164" s="7">
        <f t="shared" si="2"/>
        <v>5185.6333333333332</v>
      </c>
    </row>
    <row r="165" spans="1:4" x14ac:dyDescent="0.35">
      <c r="A165" s="8">
        <v>6</v>
      </c>
      <c r="B165" s="2" t="s">
        <v>165</v>
      </c>
      <c r="C165" s="2">
        <v>82450</v>
      </c>
      <c r="D165" s="7">
        <f t="shared" si="2"/>
        <v>2748.3333333333335</v>
      </c>
    </row>
    <row r="166" spans="1:4" x14ac:dyDescent="0.35">
      <c r="A166" s="8">
        <v>6</v>
      </c>
      <c r="B166" s="2" t="s">
        <v>166</v>
      </c>
      <c r="C166" s="2">
        <v>134370</v>
      </c>
      <c r="D166" s="7">
        <f t="shared" si="2"/>
        <v>4479</v>
      </c>
    </row>
    <row r="167" spans="1:4" x14ac:dyDescent="0.35">
      <c r="A167" s="8">
        <v>6</v>
      </c>
      <c r="B167" s="2" t="s">
        <v>167</v>
      </c>
      <c r="C167" s="2">
        <v>192201</v>
      </c>
      <c r="D167" s="7">
        <f t="shared" si="2"/>
        <v>6406.7</v>
      </c>
    </row>
    <row r="168" spans="1:4" x14ac:dyDescent="0.35">
      <c r="A168" s="8">
        <v>6</v>
      </c>
      <c r="B168" s="2" t="s">
        <v>168</v>
      </c>
      <c r="C168" s="2">
        <v>230262</v>
      </c>
      <c r="D168" s="7">
        <f t="shared" si="2"/>
        <v>7675.4</v>
      </c>
    </row>
    <row r="169" spans="1:4" x14ac:dyDescent="0.35">
      <c r="A169" s="8">
        <v>6</v>
      </c>
      <c r="B169" s="2" t="s">
        <v>169</v>
      </c>
      <c r="C169" s="2">
        <v>167859</v>
      </c>
      <c r="D169" s="7">
        <f t="shared" si="2"/>
        <v>5595.3</v>
      </c>
    </row>
    <row r="170" spans="1:4" x14ac:dyDescent="0.35">
      <c r="A170" s="8">
        <v>6</v>
      </c>
      <c r="B170" s="2" t="s">
        <v>170</v>
      </c>
      <c r="C170" s="2">
        <v>283812</v>
      </c>
      <c r="D170" s="7">
        <f t="shared" si="2"/>
        <v>9460.4</v>
      </c>
    </row>
    <row r="171" spans="1:4" x14ac:dyDescent="0.35">
      <c r="A171" s="8">
        <v>6</v>
      </c>
      <c r="B171" s="2" t="s">
        <v>171</v>
      </c>
      <c r="C171" s="2">
        <v>119900</v>
      </c>
      <c r="D171" s="7">
        <f t="shared" si="2"/>
        <v>3996.6666666666665</v>
      </c>
    </row>
    <row r="172" spans="1:4" x14ac:dyDescent="0.35">
      <c r="A172" s="8">
        <v>6</v>
      </c>
      <c r="B172" s="2" t="s">
        <v>172</v>
      </c>
      <c r="C172" s="2">
        <v>398749</v>
      </c>
      <c r="D172" s="7">
        <f t="shared" si="2"/>
        <v>13291.633333333333</v>
      </c>
    </row>
    <row r="173" spans="1:4" x14ac:dyDescent="0.35">
      <c r="A173" s="8">
        <v>6</v>
      </c>
      <c r="B173" s="2" t="s">
        <v>173</v>
      </c>
      <c r="C173" s="2">
        <v>350917</v>
      </c>
      <c r="D173" s="7">
        <f t="shared" si="2"/>
        <v>11697.233333333334</v>
      </c>
    </row>
    <row r="174" spans="1:4" x14ac:dyDescent="0.35">
      <c r="A174" s="8">
        <v>6</v>
      </c>
      <c r="B174" s="2" t="s">
        <v>174</v>
      </c>
      <c r="C174" s="2">
        <v>513763</v>
      </c>
      <c r="D174" s="7">
        <f t="shared" si="2"/>
        <v>17125.433333333334</v>
      </c>
    </row>
    <row r="175" spans="1:4" x14ac:dyDescent="0.35">
      <c r="A175" s="8">
        <v>6</v>
      </c>
      <c r="B175" s="2" t="s">
        <v>175</v>
      </c>
      <c r="C175" s="2">
        <v>284973</v>
      </c>
      <c r="D175" s="7">
        <f t="shared" si="2"/>
        <v>9499.1</v>
      </c>
    </row>
    <row r="176" spans="1:4" x14ac:dyDescent="0.35">
      <c r="A176" s="8">
        <v>6</v>
      </c>
      <c r="B176" s="2" t="s">
        <v>176</v>
      </c>
      <c r="C176" s="2">
        <v>79940</v>
      </c>
      <c r="D176" s="7">
        <f t="shared" si="2"/>
        <v>2664.6666666666665</v>
      </c>
    </row>
    <row r="177" spans="1:4" x14ac:dyDescent="0.35">
      <c r="A177" s="8">
        <v>6</v>
      </c>
      <c r="B177" s="2" t="s">
        <v>177</v>
      </c>
      <c r="C177" s="2">
        <v>547398</v>
      </c>
      <c r="D177" s="7">
        <f t="shared" si="2"/>
        <v>18246.599999999999</v>
      </c>
    </row>
    <row r="178" spans="1:4" x14ac:dyDescent="0.35">
      <c r="A178" s="8">
        <v>7</v>
      </c>
      <c r="B178" s="2" t="s">
        <v>3</v>
      </c>
      <c r="C178" s="2">
        <v>59855</v>
      </c>
      <c r="D178" s="7">
        <f t="shared" si="2"/>
        <v>1995.1666666666667</v>
      </c>
    </row>
    <row r="179" spans="1:4" x14ac:dyDescent="0.35">
      <c r="A179" s="8">
        <v>7</v>
      </c>
      <c r="B179" s="2" t="s">
        <v>115</v>
      </c>
      <c r="C179" s="2">
        <v>305233</v>
      </c>
      <c r="D179" s="7">
        <f t="shared" si="2"/>
        <v>10174.433333333332</v>
      </c>
    </row>
    <row r="180" spans="1:4" x14ac:dyDescent="0.35">
      <c r="A180" s="8">
        <v>7</v>
      </c>
      <c r="B180" s="2" t="s">
        <v>116</v>
      </c>
      <c r="C180" s="2">
        <v>79305</v>
      </c>
      <c r="D180" s="7">
        <f t="shared" si="2"/>
        <v>2643.5</v>
      </c>
    </row>
    <row r="181" spans="1:4" x14ac:dyDescent="0.35">
      <c r="A181" s="8">
        <v>7</v>
      </c>
      <c r="B181" s="2" t="s">
        <v>99</v>
      </c>
      <c r="C181" s="2">
        <v>85636</v>
      </c>
      <c r="D181" s="7">
        <f t="shared" si="2"/>
        <v>2854.5333333333333</v>
      </c>
    </row>
    <row r="182" spans="1:4" x14ac:dyDescent="0.35">
      <c r="A182" s="8">
        <v>7</v>
      </c>
      <c r="B182" s="2" t="s">
        <v>49</v>
      </c>
      <c r="C182" s="2">
        <v>143729</v>
      </c>
      <c r="D182" s="7">
        <f t="shared" si="2"/>
        <v>4790.9666666666662</v>
      </c>
    </row>
    <row r="183" spans="1:4" x14ac:dyDescent="0.35">
      <c r="A183" s="8">
        <v>7</v>
      </c>
      <c r="B183" s="2" t="s">
        <v>149</v>
      </c>
      <c r="C183" s="2">
        <v>285696</v>
      </c>
      <c r="D183" s="7">
        <f t="shared" si="2"/>
        <v>9523.2000000000007</v>
      </c>
    </row>
    <row r="184" spans="1:4" x14ac:dyDescent="0.35">
      <c r="A184" s="8">
        <v>7</v>
      </c>
      <c r="B184" s="2" t="s">
        <v>178</v>
      </c>
      <c r="C184" s="2">
        <v>183773</v>
      </c>
      <c r="D184" s="7">
        <f t="shared" si="2"/>
        <v>6125.7666666666664</v>
      </c>
    </row>
    <row r="185" spans="1:4" x14ac:dyDescent="0.35">
      <c r="A185" s="8">
        <v>7</v>
      </c>
      <c r="B185" s="2" t="s">
        <v>179</v>
      </c>
      <c r="C185" s="2">
        <v>139840</v>
      </c>
      <c r="D185" s="7">
        <f t="shared" si="2"/>
        <v>4661.333333333333</v>
      </c>
    </row>
    <row r="186" spans="1:4" x14ac:dyDescent="0.35">
      <c r="A186" s="8">
        <v>7</v>
      </c>
      <c r="B186" s="2" t="s">
        <v>180</v>
      </c>
      <c r="C186" s="2">
        <v>276078</v>
      </c>
      <c r="D186" s="7">
        <f t="shared" si="2"/>
        <v>9202.6</v>
      </c>
    </row>
    <row r="187" spans="1:4" x14ac:dyDescent="0.35">
      <c r="A187" s="8">
        <v>7</v>
      </c>
      <c r="B187" s="2" t="s">
        <v>181</v>
      </c>
      <c r="C187" s="2">
        <v>311187</v>
      </c>
      <c r="D187" s="7">
        <f t="shared" si="2"/>
        <v>10372.9</v>
      </c>
    </row>
    <row r="188" spans="1:4" x14ac:dyDescent="0.35">
      <c r="A188" s="8">
        <v>7</v>
      </c>
      <c r="B188" s="2" t="s">
        <v>182</v>
      </c>
      <c r="C188" s="2">
        <v>259564</v>
      </c>
      <c r="D188" s="7">
        <f t="shared" si="2"/>
        <v>8652.1333333333332</v>
      </c>
    </row>
    <row r="189" spans="1:4" x14ac:dyDescent="0.35">
      <c r="A189" s="8">
        <v>7</v>
      </c>
      <c r="B189" s="2" t="s">
        <v>183</v>
      </c>
      <c r="C189" s="2">
        <v>154366</v>
      </c>
      <c r="D189" s="7">
        <f t="shared" si="2"/>
        <v>5145.5333333333338</v>
      </c>
    </row>
    <row r="190" spans="1:4" x14ac:dyDescent="0.35">
      <c r="A190" s="8">
        <v>7</v>
      </c>
      <c r="B190" s="2" t="s">
        <v>184</v>
      </c>
      <c r="C190" s="2">
        <v>54437</v>
      </c>
      <c r="D190" s="7">
        <f t="shared" si="2"/>
        <v>1814.5666666666666</v>
      </c>
    </row>
    <row r="191" spans="1:4" x14ac:dyDescent="0.35">
      <c r="A191" s="8">
        <v>7</v>
      </c>
      <c r="B191" s="2" t="s">
        <v>185</v>
      </c>
      <c r="C191" s="2">
        <v>178986</v>
      </c>
      <c r="D191" s="7">
        <f t="shared" si="2"/>
        <v>5966.2</v>
      </c>
    </row>
    <row r="192" spans="1:4" x14ac:dyDescent="0.35">
      <c r="A192" s="8">
        <v>7</v>
      </c>
      <c r="B192" s="2" t="s">
        <v>186</v>
      </c>
      <c r="C192" s="2">
        <v>296564</v>
      </c>
      <c r="D192" s="7">
        <f t="shared" si="2"/>
        <v>9885.4666666666672</v>
      </c>
    </row>
    <row r="193" spans="1:4" x14ac:dyDescent="0.35">
      <c r="A193" s="8">
        <v>7</v>
      </c>
      <c r="B193" s="2" t="s">
        <v>187</v>
      </c>
      <c r="C193" s="2">
        <v>261711</v>
      </c>
      <c r="D193" s="7">
        <f t="shared" si="2"/>
        <v>8723.7000000000007</v>
      </c>
    </row>
    <row r="194" spans="1:4" x14ac:dyDescent="0.35">
      <c r="A194" s="8">
        <v>7</v>
      </c>
      <c r="B194" s="2" t="s">
        <v>188</v>
      </c>
      <c r="C194" s="2">
        <v>148135</v>
      </c>
      <c r="D194" s="7">
        <f t="shared" si="2"/>
        <v>4937.833333333333</v>
      </c>
    </row>
    <row r="195" spans="1:4" x14ac:dyDescent="0.35">
      <c r="A195" s="8">
        <v>7</v>
      </c>
      <c r="B195" s="2" t="s">
        <v>189</v>
      </c>
      <c r="C195" s="2">
        <v>368724</v>
      </c>
      <c r="D195" s="7">
        <f t="shared" ref="D195:D258" si="3">C195/30</f>
        <v>12290.8</v>
      </c>
    </row>
    <row r="196" spans="1:4" x14ac:dyDescent="0.35">
      <c r="A196" s="8">
        <v>7</v>
      </c>
      <c r="B196" s="2" t="s">
        <v>190</v>
      </c>
      <c r="C196" s="2">
        <v>145007</v>
      </c>
      <c r="D196" s="7">
        <f t="shared" si="3"/>
        <v>4833.5666666666666</v>
      </c>
    </row>
    <row r="197" spans="1:4" x14ac:dyDescent="0.35">
      <c r="A197" s="8">
        <v>7</v>
      </c>
      <c r="B197" s="2" t="s">
        <v>191</v>
      </c>
      <c r="C197" s="2">
        <v>380906</v>
      </c>
      <c r="D197" s="7">
        <f t="shared" si="3"/>
        <v>12696.866666666667</v>
      </c>
    </row>
    <row r="198" spans="1:4" x14ac:dyDescent="0.35">
      <c r="A198" s="8">
        <v>7</v>
      </c>
      <c r="B198" s="2" t="s">
        <v>192</v>
      </c>
      <c r="C198" s="2">
        <v>534026</v>
      </c>
      <c r="D198" s="7">
        <f t="shared" si="3"/>
        <v>17800.866666666665</v>
      </c>
    </row>
    <row r="199" spans="1:4" x14ac:dyDescent="0.35">
      <c r="A199" s="8">
        <v>7</v>
      </c>
      <c r="B199" s="2" t="s">
        <v>193</v>
      </c>
      <c r="C199" s="2">
        <v>453207</v>
      </c>
      <c r="D199" s="7">
        <f t="shared" si="3"/>
        <v>15106.9</v>
      </c>
    </row>
    <row r="200" spans="1:4" x14ac:dyDescent="0.35">
      <c r="A200" s="8">
        <v>7</v>
      </c>
      <c r="B200" s="2" t="s">
        <v>194</v>
      </c>
      <c r="C200" s="2">
        <v>242684</v>
      </c>
      <c r="D200" s="7">
        <f t="shared" si="3"/>
        <v>8089.4666666666662</v>
      </c>
    </row>
    <row r="201" spans="1:4" x14ac:dyDescent="0.35">
      <c r="A201" s="8">
        <v>7</v>
      </c>
      <c r="B201" s="2" t="s">
        <v>195</v>
      </c>
      <c r="C201" s="2">
        <v>240384</v>
      </c>
      <c r="D201" s="7">
        <f t="shared" si="3"/>
        <v>8012.8</v>
      </c>
    </row>
    <row r="202" spans="1:4" x14ac:dyDescent="0.35">
      <c r="A202" s="8">
        <v>7</v>
      </c>
      <c r="B202" s="2" t="s">
        <v>196</v>
      </c>
      <c r="C202" s="2">
        <v>553249</v>
      </c>
      <c r="D202" s="7">
        <f t="shared" si="3"/>
        <v>18441.633333333335</v>
      </c>
    </row>
    <row r="203" spans="1:4" x14ac:dyDescent="0.35">
      <c r="A203" s="8">
        <v>7</v>
      </c>
      <c r="B203" s="2" t="s">
        <v>197</v>
      </c>
      <c r="C203" s="2">
        <v>141048</v>
      </c>
      <c r="D203" s="7">
        <f t="shared" si="3"/>
        <v>4701.6000000000004</v>
      </c>
    </row>
    <row r="204" spans="1:4" x14ac:dyDescent="0.35">
      <c r="A204" s="8">
        <v>7</v>
      </c>
      <c r="B204" s="2" t="s">
        <v>198</v>
      </c>
      <c r="C204" s="2">
        <v>208072</v>
      </c>
      <c r="D204" s="7">
        <f t="shared" si="3"/>
        <v>6935.7333333333336</v>
      </c>
    </row>
    <row r="205" spans="1:4" x14ac:dyDescent="0.35">
      <c r="A205" s="8">
        <v>7</v>
      </c>
      <c r="B205" s="2" t="s">
        <v>199</v>
      </c>
      <c r="C205" s="2">
        <v>129369</v>
      </c>
      <c r="D205" s="7">
        <f t="shared" si="3"/>
        <v>4312.3</v>
      </c>
    </row>
    <row r="206" spans="1:4" x14ac:dyDescent="0.35">
      <c r="A206" s="8">
        <v>7</v>
      </c>
      <c r="B206" s="2" t="s">
        <v>200</v>
      </c>
      <c r="C206" s="2">
        <v>171002</v>
      </c>
      <c r="D206" s="7">
        <f t="shared" si="3"/>
        <v>5700.0666666666666</v>
      </c>
    </row>
    <row r="207" spans="1:4" x14ac:dyDescent="0.35">
      <c r="A207" s="8">
        <v>7</v>
      </c>
      <c r="B207" s="2" t="s">
        <v>201</v>
      </c>
      <c r="C207" s="2">
        <v>125223</v>
      </c>
      <c r="D207" s="7">
        <f t="shared" si="3"/>
        <v>4174.1000000000004</v>
      </c>
    </row>
    <row r="208" spans="1:4" x14ac:dyDescent="0.35">
      <c r="A208" s="8">
        <v>7</v>
      </c>
      <c r="B208" s="2" t="s">
        <v>202</v>
      </c>
      <c r="C208" s="2">
        <v>210338</v>
      </c>
      <c r="D208" s="7">
        <f t="shared" si="3"/>
        <v>7011.2666666666664</v>
      </c>
    </row>
    <row r="209" spans="1:4" x14ac:dyDescent="0.35">
      <c r="A209" s="8">
        <v>7</v>
      </c>
      <c r="B209" s="2" t="s">
        <v>203</v>
      </c>
      <c r="C209" s="2">
        <v>138550</v>
      </c>
      <c r="D209" s="7">
        <f t="shared" si="3"/>
        <v>4618.333333333333</v>
      </c>
    </row>
    <row r="210" spans="1:4" x14ac:dyDescent="0.35">
      <c r="A210" s="8">
        <v>7</v>
      </c>
      <c r="B210" s="2" t="s">
        <v>204</v>
      </c>
      <c r="C210" s="2">
        <v>181045</v>
      </c>
      <c r="D210" s="7">
        <f t="shared" si="3"/>
        <v>6034.833333333333</v>
      </c>
    </row>
    <row r="211" spans="1:4" x14ac:dyDescent="0.35">
      <c r="A211" s="8">
        <v>7</v>
      </c>
      <c r="B211" s="2" t="s">
        <v>205</v>
      </c>
      <c r="C211" s="2">
        <v>120584</v>
      </c>
      <c r="D211" s="7">
        <f t="shared" si="3"/>
        <v>4019.4666666666667</v>
      </c>
    </row>
    <row r="212" spans="1:4" x14ac:dyDescent="0.35">
      <c r="A212" s="8">
        <v>7</v>
      </c>
      <c r="B212" s="2" t="s">
        <v>206</v>
      </c>
      <c r="C212" s="2">
        <v>412638</v>
      </c>
      <c r="D212" s="7">
        <f t="shared" si="3"/>
        <v>13754.6</v>
      </c>
    </row>
    <row r="213" spans="1:4" x14ac:dyDescent="0.35">
      <c r="A213" s="8">
        <v>7</v>
      </c>
      <c r="B213" s="2" t="s">
        <v>207</v>
      </c>
      <c r="C213" s="2">
        <v>246139</v>
      </c>
      <c r="D213" s="7">
        <f t="shared" si="3"/>
        <v>8204.6333333333332</v>
      </c>
    </row>
    <row r="214" spans="1:4" x14ac:dyDescent="0.35">
      <c r="A214" s="8">
        <v>7</v>
      </c>
      <c r="B214" s="2" t="s">
        <v>208</v>
      </c>
      <c r="C214" s="2">
        <v>361670</v>
      </c>
      <c r="D214" s="7">
        <f t="shared" si="3"/>
        <v>12055.666666666666</v>
      </c>
    </row>
    <row r="215" spans="1:4" x14ac:dyDescent="0.35">
      <c r="A215" s="8">
        <v>7</v>
      </c>
      <c r="B215" s="2" t="s">
        <v>209</v>
      </c>
      <c r="C215" s="2">
        <v>484444</v>
      </c>
      <c r="D215" s="7">
        <f t="shared" si="3"/>
        <v>16148.133333333333</v>
      </c>
    </row>
    <row r="216" spans="1:4" x14ac:dyDescent="0.35">
      <c r="A216" s="8">
        <v>8</v>
      </c>
      <c r="B216" s="2" t="s">
        <v>52</v>
      </c>
      <c r="C216" s="2">
        <v>398162</v>
      </c>
      <c r="D216" s="7">
        <f t="shared" si="3"/>
        <v>13272.066666666668</v>
      </c>
    </row>
    <row r="217" spans="1:4" x14ac:dyDescent="0.35">
      <c r="A217" s="8">
        <v>8</v>
      </c>
      <c r="B217" s="2" t="s">
        <v>210</v>
      </c>
      <c r="C217" s="2">
        <v>1001734</v>
      </c>
      <c r="D217" s="7">
        <f t="shared" si="3"/>
        <v>33391.133333333331</v>
      </c>
    </row>
    <row r="218" spans="1:4" x14ac:dyDescent="0.35">
      <c r="A218" s="8">
        <v>8</v>
      </c>
      <c r="B218" s="2" t="s">
        <v>211</v>
      </c>
      <c r="C218" s="2">
        <v>428850</v>
      </c>
      <c r="D218" s="7">
        <f t="shared" si="3"/>
        <v>14295</v>
      </c>
    </row>
    <row r="219" spans="1:4" x14ac:dyDescent="0.35">
      <c r="A219" s="8">
        <v>8</v>
      </c>
      <c r="B219" s="2" t="s">
        <v>212</v>
      </c>
      <c r="C219" s="2">
        <v>333278</v>
      </c>
      <c r="D219" s="7">
        <f t="shared" si="3"/>
        <v>11109.266666666666</v>
      </c>
    </row>
    <row r="220" spans="1:4" x14ac:dyDescent="0.35">
      <c r="A220" s="8">
        <v>8</v>
      </c>
      <c r="B220" s="2" t="s">
        <v>213</v>
      </c>
      <c r="C220" s="2">
        <v>313404</v>
      </c>
      <c r="D220" s="7">
        <f t="shared" si="3"/>
        <v>10446.799999999999</v>
      </c>
    </row>
    <row r="221" spans="1:4" x14ac:dyDescent="0.35">
      <c r="A221" s="8">
        <v>8</v>
      </c>
      <c r="B221" s="2" t="s">
        <v>214</v>
      </c>
      <c r="C221" s="2">
        <v>135285</v>
      </c>
      <c r="D221" s="7">
        <f t="shared" si="3"/>
        <v>4509.5</v>
      </c>
    </row>
    <row r="222" spans="1:4" x14ac:dyDescent="0.35">
      <c r="A222" s="8">
        <v>8</v>
      </c>
      <c r="B222" s="2" t="s">
        <v>215</v>
      </c>
      <c r="C222" s="2">
        <v>392140</v>
      </c>
      <c r="D222" s="7">
        <f t="shared" si="3"/>
        <v>13071.333333333334</v>
      </c>
    </row>
    <row r="223" spans="1:4" x14ac:dyDescent="0.35">
      <c r="A223" s="8">
        <v>8</v>
      </c>
      <c r="B223" s="2" t="s">
        <v>216</v>
      </c>
      <c r="C223" s="2">
        <v>169298</v>
      </c>
      <c r="D223" s="7">
        <f t="shared" si="3"/>
        <v>5643.2666666666664</v>
      </c>
    </row>
    <row r="224" spans="1:4" x14ac:dyDescent="0.35">
      <c r="A224" s="8">
        <v>8</v>
      </c>
      <c r="B224" s="2" t="s">
        <v>217</v>
      </c>
      <c r="C224" s="2">
        <v>151356</v>
      </c>
      <c r="D224" s="7">
        <f t="shared" si="3"/>
        <v>5045.2</v>
      </c>
    </row>
    <row r="225" spans="1:4" x14ac:dyDescent="0.35">
      <c r="A225" s="8">
        <v>8</v>
      </c>
      <c r="B225" s="2" t="s">
        <v>218</v>
      </c>
      <c r="C225" s="2">
        <v>147607</v>
      </c>
      <c r="D225" s="7">
        <f t="shared" si="3"/>
        <v>4920.2333333333336</v>
      </c>
    </row>
    <row r="226" spans="1:4" x14ac:dyDescent="0.35">
      <c r="A226" s="8">
        <v>8</v>
      </c>
      <c r="B226" s="2" t="s">
        <v>219</v>
      </c>
      <c r="C226" s="2">
        <v>351020</v>
      </c>
      <c r="D226" s="7">
        <f t="shared" si="3"/>
        <v>11700.666666666666</v>
      </c>
    </row>
    <row r="227" spans="1:4" x14ac:dyDescent="0.35">
      <c r="A227" s="8">
        <v>8</v>
      </c>
      <c r="B227" s="2" t="s">
        <v>220</v>
      </c>
      <c r="C227" s="2">
        <v>180474</v>
      </c>
      <c r="D227" s="7">
        <f t="shared" si="3"/>
        <v>6015.8</v>
      </c>
    </row>
    <row r="228" spans="1:4" x14ac:dyDescent="0.35">
      <c r="A228" s="8">
        <v>8</v>
      </c>
      <c r="B228" s="2" t="s">
        <v>221</v>
      </c>
      <c r="C228" s="2">
        <v>258952</v>
      </c>
      <c r="D228" s="7">
        <f t="shared" si="3"/>
        <v>8631.7333333333336</v>
      </c>
    </row>
    <row r="229" spans="1:4" x14ac:dyDescent="0.35">
      <c r="A229" s="8">
        <v>8</v>
      </c>
      <c r="B229" s="2" t="s">
        <v>222</v>
      </c>
      <c r="C229" s="2">
        <v>137155</v>
      </c>
      <c r="D229" s="7">
        <f t="shared" si="3"/>
        <v>4571.833333333333</v>
      </c>
    </row>
    <row r="230" spans="1:4" x14ac:dyDescent="0.35">
      <c r="A230" s="8">
        <v>8</v>
      </c>
      <c r="B230" s="2" t="s">
        <v>223</v>
      </c>
      <c r="C230" s="2">
        <v>97286</v>
      </c>
      <c r="D230" s="7">
        <f t="shared" si="3"/>
        <v>3242.8666666666668</v>
      </c>
    </row>
    <row r="231" spans="1:4" x14ac:dyDescent="0.35">
      <c r="A231" s="8">
        <v>8</v>
      </c>
      <c r="B231" s="2" t="s">
        <v>224</v>
      </c>
      <c r="C231" s="2">
        <v>108926</v>
      </c>
      <c r="D231" s="7">
        <f t="shared" si="3"/>
        <v>3630.8666666666668</v>
      </c>
    </row>
    <row r="232" spans="1:4" x14ac:dyDescent="0.35">
      <c r="A232" s="8">
        <v>8</v>
      </c>
      <c r="B232" s="2" t="s">
        <v>225</v>
      </c>
      <c r="C232" s="2">
        <v>350593</v>
      </c>
      <c r="D232" s="7">
        <f t="shared" si="3"/>
        <v>11686.433333333332</v>
      </c>
    </row>
    <row r="233" spans="1:4" x14ac:dyDescent="0.35">
      <c r="A233" s="8">
        <v>8</v>
      </c>
      <c r="B233" s="2" t="s">
        <v>226</v>
      </c>
      <c r="C233" s="2">
        <v>219946</v>
      </c>
      <c r="D233" s="7">
        <f t="shared" si="3"/>
        <v>7331.5333333333338</v>
      </c>
    </row>
    <row r="234" spans="1:4" x14ac:dyDescent="0.35">
      <c r="A234" s="8">
        <v>8</v>
      </c>
      <c r="B234" s="2" t="s">
        <v>227</v>
      </c>
      <c r="C234" s="2">
        <v>37456</v>
      </c>
      <c r="D234" s="7">
        <f t="shared" si="3"/>
        <v>1248.5333333333333</v>
      </c>
    </row>
    <row r="235" spans="1:4" x14ac:dyDescent="0.35">
      <c r="A235" s="8">
        <v>8</v>
      </c>
      <c r="B235" s="2" t="s">
        <v>228</v>
      </c>
      <c r="C235" s="2">
        <v>115693</v>
      </c>
      <c r="D235" s="7">
        <f t="shared" si="3"/>
        <v>3856.4333333333334</v>
      </c>
    </row>
    <row r="236" spans="1:4" x14ac:dyDescent="0.35">
      <c r="A236" s="8">
        <v>8</v>
      </c>
      <c r="B236" s="2" t="s">
        <v>229</v>
      </c>
      <c r="C236" s="2">
        <v>71802</v>
      </c>
      <c r="D236" s="7">
        <f t="shared" si="3"/>
        <v>2393.4</v>
      </c>
    </row>
    <row r="237" spans="1:4" x14ac:dyDescent="0.35">
      <c r="A237" s="8">
        <v>8</v>
      </c>
      <c r="B237" s="2" t="s">
        <v>230</v>
      </c>
      <c r="C237" s="2">
        <v>650306</v>
      </c>
      <c r="D237" s="7">
        <f t="shared" si="3"/>
        <v>21676.866666666665</v>
      </c>
    </row>
    <row r="238" spans="1:4" x14ac:dyDescent="0.35">
      <c r="A238" s="8">
        <v>8</v>
      </c>
      <c r="B238" s="2" t="s">
        <v>231</v>
      </c>
      <c r="C238" s="2">
        <v>414476</v>
      </c>
      <c r="D238" s="7">
        <f t="shared" si="3"/>
        <v>13815.866666666667</v>
      </c>
    </row>
    <row r="239" spans="1:4" x14ac:dyDescent="0.35">
      <c r="A239" s="8">
        <v>8</v>
      </c>
      <c r="B239" s="2" t="s">
        <v>232</v>
      </c>
      <c r="C239" s="2">
        <v>372285</v>
      </c>
      <c r="D239" s="7">
        <f t="shared" si="3"/>
        <v>12409.5</v>
      </c>
    </row>
    <row r="240" spans="1:4" x14ac:dyDescent="0.35">
      <c r="A240" s="8">
        <v>8</v>
      </c>
      <c r="B240" s="2" t="s">
        <v>233</v>
      </c>
      <c r="C240" s="2">
        <v>393072</v>
      </c>
      <c r="D240" s="7">
        <f t="shared" si="3"/>
        <v>13102.4</v>
      </c>
    </row>
    <row r="241" spans="1:4" x14ac:dyDescent="0.35">
      <c r="A241" s="8">
        <v>9</v>
      </c>
      <c r="B241" s="2" t="s">
        <v>90</v>
      </c>
      <c r="C241" s="2">
        <v>10103</v>
      </c>
      <c r="D241" s="7">
        <f t="shared" si="3"/>
        <v>336.76666666666665</v>
      </c>
    </row>
    <row r="242" spans="1:4" x14ac:dyDescent="0.35">
      <c r="A242" s="8">
        <v>9</v>
      </c>
      <c r="B242" s="2" t="s">
        <v>234</v>
      </c>
      <c r="C242" s="2">
        <v>81949</v>
      </c>
      <c r="D242" s="7">
        <f t="shared" si="3"/>
        <v>2731.6333333333332</v>
      </c>
    </row>
    <row r="243" spans="1:4" x14ac:dyDescent="0.35">
      <c r="A243" s="8">
        <v>9</v>
      </c>
      <c r="B243" s="2" t="s">
        <v>235</v>
      </c>
      <c r="C243" s="2">
        <v>261102</v>
      </c>
      <c r="D243" s="7">
        <f t="shared" si="3"/>
        <v>8703.4</v>
      </c>
    </row>
    <row r="244" spans="1:4" x14ac:dyDescent="0.35">
      <c r="A244" s="8">
        <v>9</v>
      </c>
      <c r="B244" s="2" t="s">
        <v>236</v>
      </c>
      <c r="C244" s="2">
        <v>288142</v>
      </c>
      <c r="D244" s="7">
        <f t="shared" si="3"/>
        <v>9604.7333333333336</v>
      </c>
    </row>
    <row r="245" spans="1:4" x14ac:dyDescent="0.35">
      <c r="A245" s="8">
        <v>20</v>
      </c>
      <c r="B245" s="2" t="s">
        <v>237</v>
      </c>
      <c r="C245" s="2">
        <v>49542</v>
      </c>
      <c r="D245" s="7">
        <f t="shared" si="3"/>
        <v>1651.4</v>
      </c>
    </row>
    <row r="246" spans="1:4" x14ac:dyDescent="0.35">
      <c r="A246" s="8">
        <v>20</v>
      </c>
      <c r="B246" s="2" t="s">
        <v>238</v>
      </c>
      <c r="C246" s="2">
        <v>171612</v>
      </c>
      <c r="D246" s="7">
        <f t="shared" si="3"/>
        <v>5720.4</v>
      </c>
    </row>
    <row r="247" spans="1:4" x14ac:dyDescent="0.35">
      <c r="A247" s="8">
        <v>20</v>
      </c>
      <c r="B247" s="2" t="s">
        <v>239</v>
      </c>
      <c r="C247" s="2">
        <v>85302</v>
      </c>
      <c r="D247" s="7">
        <f t="shared" si="3"/>
        <v>2843.4</v>
      </c>
    </row>
    <row r="248" spans="1:4" x14ac:dyDescent="0.35">
      <c r="A248" s="8">
        <v>20</v>
      </c>
      <c r="B248" s="2" t="s">
        <v>240</v>
      </c>
      <c r="C248" s="2">
        <v>401196</v>
      </c>
      <c r="D248" s="7">
        <f t="shared" si="3"/>
        <v>13373.2</v>
      </c>
    </row>
    <row r="249" spans="1:4" x14ac:dyDescent="0.35">
      <c r="A249" s="8">
        <v>20</v>
      </c>
      <c r="B249" s="2" t="s">
        <v>241</v>
      </c>
      <c r="C249" s="2">
        <v>147280</v>
      </c>
      <c r="D249" s="7">
        <f t="shared" si="3"/>
        <v>4909.333333333333</v>
      </c>
    </row>
    <row r="250" spans="1:4" x14ac:dyDescent="0.35">
      <c r="A250" s="8">
        <v>20</v>
      </c>
      <c r="B250" s="2" t="s">
        <v>242</v>
      </c>
      <c r="C250" s="2">
        <v>501660</v>
      </c>
      <c r="D250" s="7">
        <f t="shared" si="3"/>
        <v>16722</v>
      </c>
    </row>
    <row r="251" spans="1:4" x14ac:dyDescent="0.35">
      <c r="A251" s="8">
        <v>20</v>
      </c>
      <c r="B251" s="2" t="s">
        <v>243</v>
      </c>
      <c r="C251" s="2">
        <v>66686</v>
      </c>
      <c r="D251" s="7">
        <f t="shared" si="3"/>
        <v>2222.8666666666668</v>
      </c>
    </row>
    <row r="252" spans="1:4" x14ac:dyDescent="0.35">
      <c r="A252" s="8">
        <v>20</v>
      </c>
      <c r="B252" s="2" t="s">
        <v>244</v>
      </c>
      <c r="C252" s="2">
        <v>155460</v>
      </c>
      <c r="D252" s="7">
        <f t="shared" si="3"/>
        <v>5182</v>
      </c>
    </row>
    <row r="253" spans="1:4" x14ac:dyDescent="0.35">
      <c r="A253" s="8">
        <v>20</v>
      </c>
      <c r="B253" s="2" t="s">
        <v>245</v>
      </c>
      <c r="C253" s="2">
        <v>119914</v>
      </c>
      <c r="D253" s="7">
        <f t="shared" si="3"/>
        <v>3997.1333333333332</v>
      </c>
    </row>
    <row r="254" spans="1:4" x14ac:dyDescent="0.35">
      <c r="A254" s="8">
        <v>20</v>
      </c>
      <c r="B254" s="2" t="s">
        <v>246</v>
      </c>
      <c r="C254" s="2">
        <v>179492</v>
      </c>
      <c r="D254" s="7">
        <f t="shared" si="3"/>
        <v>5983.0666666666666</v>
      </c>
    </row>
    <row r="255" spans="1:4" x14ac:dyDescent="0.35">
      <c r="A255" s="8">
        <v>20</v>
      </c>
      <c r="B255" s="2" t="s">
        <v>247</v>
      </c>
      <c r="C255" s="2">
        <v>410690</v>
      </c>
      <c r="D255" s="7">
        <f t="shared" si="3"/>
        <v>13689.666666666666</v>
      </c>
    </row>
    <row r="256" spans="1:4" x14ac:dyDescent="0.35">
      <c r="A256" s="8" t="s">
        <v>254</v>
      </c>
      <c r="B256" s="3" t="s">
        <v>249</v>
      </c>
      <c r="C256" s="2">
        <v>95427</v>
      </c>
      <c r="D256" s="7">
        <f t="shared" si="3"/>
        <v>3180.9</v>
      </c>
    </row>
    <row r="257" spans="1:4" x14ac:dyDescent="0.35">
      <c r="A257" s="8" t="s">
        <v>254</v>
      </c>
      <c r="B257" s="3" t="s">
        <v>250</v>
      </c>
      <c r="C257" s="2">
        <v>362133</v>
      </c>
      <c r="D257" s="7">
        <f t="shared" si="3"/>
        <v>12071.1</v>
      </c>
    </row>
    <row r="258" spans="1:4" x14ac:dyDescent="0.35">
      <c r="A258" s="8" t="s">
        <v>254</v>
      </c>
      <c r="B258" s="3" t="s">
        <v>251</v>
      </c>
      <c r="C258" s="2">
        <v>292972</v>
      </c>
      <c r="D258" s="7">
        <f t="shared" si="3"/>
        <v>9765.7333333333336</v>
      </c>
    </row>
    <row r="259" spans="1:4" x14ac:dyDescent="0.35">
      <c r="A259" s="8" t="s">
        <v>254</v>
      </c>
      <c r="B259" s="3" t="s">
        <v>37</v>
      </c>
      <c r="C259" s="2">
        <v>318054</v>
      </c>
      <c r="D259" s="7">
        <f t="shared" ref="D259:D261" si="4">C259/30</f>
        <v>10601.8</v>
      </c>
    </row>
    <row r="260" spans="1:4" x14ac:dyDescent="0.35">
      <c r="A260" s="8" t="s">
        <v>254</v>
      </c>
      <c r="B260" s="3" t="s">
        <v>252</v>
      </c>
      <c r="C260" s="2">
        <v>96788</v>
      </c>
      <c r="D260" s="7">
        <f t="shared" si="4"/>
        <v>3226.2666666666669</v>
      </c>
    </row>
    <row r="261" spans="1:4" x14ac:dyDescent="0.35">
      <c r="A261" s="8" t="s">
        <v>254</v>
      </c>
      <c r="B261" s="3" t="s">
        <v>253</v>
      </c>
      <c r="C261" s="2">
        <v>48873</v>
      </c>
      <c r="D261" s="7">
        <f t="shared" si="4"/>
        <v>1629.1</v>
      </c>
    </row>
    <row r="262" spans="1:4" x14ac:dyDescent="0.35">
      <c r="C262" s="5">
        <f>SUM(C2:C261)</f>
        <v>92303928</v>
      </c>
      <c r="D262" s="6">
        <f>C262/7000000</f>
        <v>13.186275428571429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VijayLaxmi Gupta</dc:creator>
  <cp:lastModifiedBy>Hitesh Kumar</cp:lastModifiedBy>
  <dcterms:created xsi:type="dcterms:W3CDTF">2015-06-05T18:17:20Z</dcterms:created>
  <dcterms:modified xsi:type="dcterms:W3CDTF">2026-08-12T06:10:54Z</dcterms:modified>
</cp:coreProperties>
</file>